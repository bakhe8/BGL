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1" l="1"/>
  <c r="I29" i="1" s="1"/>
  <c r="J29" i="1"/>
  <c r="K28" i="1"/>
  <c r="I28" i="1" s="1"/>
  <c r="J28" i="1"/>
</calcChain>
</file>

<file path=xl/sharedStrings.xml><?xml version="1.0" encoding="utf-8"?>
<sst xmlns="http://schemas.openxmlformats.org/spreadsheetml/2006/main" count="181" uniqueCount="103">
  <si>
    <t>S/N</t>
  </si>
  <si>
    <t>PO NO.</t>
  </si>
  <si>
    <t>Bank Name</t>
  </si>
  <si>
    <t>BANK GURANTEE NUMBER</t>
  </si>
  <si>
    <t xml:space="preserve">SUPPLIER </t>
  </si>
  <si>
    <t>Type</t>
  </si>
  <si>
    <t xml:space="preserve">BG AMOUNT </t>
  </si>
  <si>
    <t xml:space="preserve">BG EXPIRY DATE </t>
  </si>
  <si>
    <t>Valid Days</t>
  </si>
  <si>
    <t>RENEWAL DATE</t>
  </si>
  <si>
    <t>TODAY</t>
  </si>
  <si>
    <t>Comments</t>
  </si>
  <si>
    <t>PO-15</t>
  </si>
  <si>
    <t>SNB</t>
  </si>
  <si>
    <t>C223283</t>
  </si>
  <si>
    <t>PAN ARABIA MEDICAL CO.</t>
  </si>
  <si>
    <t>Final</t>
  </si>
  <si>
    <t>PO-10</t>
  </si>
  <si>
    <t>C225995</t>
  </si>
  <si>
    <t>شركة عبدالرحمن القصيبي للتجارة العامة</t>
  </si>
  <si>
    <t>PO-135</t>
  </si>
  <si>
    <t>ANB</t>
  </si>
  <si>
    <t>OG/CC054594</t>
  </si>
  <si>
    <t>شركة ايماس السعودية للمنتجات الطبية</t>
  </si>
  <si>
    <t>PO-110</t>
  </si>
  <si>
    <t>OG/EE055881</t>
  </si>
  <si>
    <t>شركة سما ماسا التجارية</t>
  </si>
  <si>
    <t>PO-26</t>
  </si>
  <si>
    <t>Riyad Bank</t>
  </si>
  <si>
    <t>RLG6711509</t>
  </si>
  <si>
    <t>ARABIAN MEDICAL PRODUCTS  MANUFACTURING CO. (ENAYAH)</t>
  </si>
  <si>
    <t>PO-159</t>
  </si>
  <si>
    <t>Banque Saudi Fransi</t>
  </si>
  <si>
    <t>001866H</t>
  </si>
  <si>
    <t>شركة نافكو السعودية لأنظمة الإطفاء</t>
  </si>
  <si>
    <t>PO-210</t>
  </si>
  <si>
    <t>ج094519</t>
  </si>
  <si>
    <t>شركة الخليج الطبية المحدودة</t>
  </si>
  <si>
    <t>PO-216</t>
  </si>
  <si>
    <t>ر130649</t>
  </si>
  <si>
    <t>شركة الاصول الطبية التجارية</t>
  </si>
  <si>
    <t>PO-37</t>
  </si>
  <si>
    <t>GIB</t>
  </si>
  <si>
    <t>LGO-363118-23RYD</t>
  </si>
  <si>
    <t>PHARMACEUTICAL SOLUTION IND. LTD.</t>
  </si>
  <si>
    <t>PO-249</t>
  </si>
  <si>
    <t>B307471</t>
  </si>
  <si>
    <t xml:space="preserve">شركة فاروق ومأمون تمر وشركاهما </t>
  </si>
  <si>
    <t>PO-147</t>
  </si>
  <si>
    <t>C224482</t>
  </si>
  <si>
    <t>PO-286</t>
  </si>
  <si>
    <t>C227405</t>
  </si>
  <si>
    <t>PO-132</t>
  </si>
  <si>
    <t>OG/EE056078</t>
  </si>
  <si>
    <t>PO-254</t>
  </si>
  <si>
    <t>B307802</t>
  </si>
  <si>
    <t>PO-172</t>
  </si>
  <si>
    <t>JLG6801992</t>
  </si>
  <si>
    <t>شركة سيكلي السعودية للمعدات الطبية</t>
  </si>
  <si>
    <t>PO-41</t>
  </si>
  <si>
    <t>JLG6702896</t>
  </si>
  <si>
    <t>SAUDI ADVANCED RENAL SERVICES CORPORATION LTD.</t>
  </si>
  <si>
    <t>PO-18</t>
  </si>
  <si>
    <t>Alinma Bank</t>
  </si>
  <si>
    <t>MD2321100010</t>
  </si>
  <si>
    <t>ALMADAR MEDICAL SERVICES COMPANY</t>
  </si>
  <si>
    <t>PO-202</t>
  </si>
  <si>
    <t>001324A</t>
  </si>
  <si>
    <t>شركة البيت العربي للتجارة</t>
  </si>
  <si>
    <t>PO-204</t>
  </si>
  <si>
    <t>SAB</t>
  </si>
  <si>
    <t>APNGCU511553</t>
  </si>
  <si>
    <t>شركة أحمد محمد عبدالوهاب ناغي وأولاده (الناغي)</t>
  </si>
  <si>
    <t>PO-217</t>
  </si>
  <si>
    <t>001489A</t>
  </si>
  <si>
    <t>مؤسسة البيت العربي للتجارة</t>
  </si>
  <si>
    <t>PO-332</t>
  </si>
  <si>
    <t>C231109</t>
  </si>
  <si>
    <t>PO-156</t>
  </si>
  <si>
    <t>OG/CC061778</t>
  </si>
  <si>
    <t>شركة الفيصلية للأنظمة الطبية</t>
  </si>
  <si>
    <t>FINAL</t>
  </si>
  <si>
    <t>PO-181</t>
  </si>
  <si>
    <t>JLG6802559</t>
  </si>
  <si>
    <t>PO-349</t>
  </si>
  <si>
    <t>-</t>
  </si>
  <si>
    <t>M114368</t>
  </si>
  <si>
    <t>شركة منافع الصناعية المحدودة</t>
  </si>
  <si>
    <t>PO-211</t>
  </si>
  <si>
    <t>APNGCU512323</t>
  </si>
  <si>
    <t>شركة احمد محمد عبدالوهاب ناغي واولاده</t>
  </si>
  <si>
    <t>PO-212</t>
  </si>
  <si>
    <t>APNGCU512752</t>
  </si>
  <si>
    <t>شركة زمو التجارية المحدودة</t>
  </si>
  <si>
    <t>PO-63</t>
  </si>
  <si>
    <t>Bank Aljazira</t>
  </si>
  <si>
    <t>LGI-0917-24-1316</t>
  </si>
  <si>
    <t>شركة الجراحة المتقدمة للمستلزمات الطبية</t>
  </si>
  <si>
    <t>PO-163</t>
  </si>
  <si>
    <t>PEBGCU500543</t>
  </si>
  <si>
    <t>شركة ميدترونيك العربية السعودية</t>
  </si>
  <si>
    <t>MADINAH</t>
  </si>
  <si>
    <t>RIYADH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</si>
</sst>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d\-mmm\-yy;@"/>
    <numFmt numFmtId="165" formatCode="00000"/>
    <numFmt numFmtId="166" formatCode="0_);[Red]\(0\)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4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165" fontId="0" fillId="0" borderId="1" xfId="0" applyNumberFormat="1" applyFill="1" applyBorder="1" applyAlignment="1">
      <alignment horizontal="left" vertical="top"/>
    </xf>
    <xf numFmtId="4" fontId="0" fillId="0" borderId="1" xfId="0" applyNumberFormat="1" applyFill="1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15" fontId="0" fillId="4" borderId="1" xfId="0" applyNumberForma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4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D11" sqref="D11"/>
    </sheetView>
  </sheetViews>
  <sheetFormatPr defaultRowHeight="14.25" x14ac:dyDescent="0.2"/>
  <cols>
    <col min="1" max="1" width="7.25" bestFit="1" customWidth="1"/>
    <col min="2" max="2" width="7.5" bestFit="1" customWidth="1"/>
    <col min="3" max="3" width="18.125" bestFit="1" customWidth="1"/>
    <col min="4" max="4" width="26.5" bestFit="1" customWidth="1"/>
    <col min="5" max="5" width="58.5" bestFit="1" customWidth="1"/>
    <col min="6" max="6" width="5.75" bestFit="1" customWidth="1"/>
    <col min="7" max="7" width="13.125" bestFit="1" customWidth="1"/>
    <col min="8" max="8" width="17.375" bestFit="1" customWidth="1"/>
    <col min="9" max="9" width="9.875" bestFit="1" customWidth="1"/>
    <col min="10" max="10" width="15.625" bestFit="1" customWidth="1"/>
    <col min="11" max="11" width="9" bestFit="1" customWidth="1"/>
    <col min="12" max="12" width="10.25" bestFit="1" customWidth="1"/>
  </cols>
  <sheetData>
    <row r="1" spans="1:12" ht="1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 spans="1:12" x14ac:dyDescent="0.2">
      <c r="A2" s="5" t="s">
        <v>12</v>
      </c>
      <c r="B2" s="5">
        <v>423485</v>
      </c>
      <c r="C2" s="5" t="s">
        <v>13</v>
      </c>
      <c r="D2" s="5" t="s">
        <v>14</v>
      </c>
      <c r="E2" s="6" t="s">
        <v>15</v>
      </c>
      <c r="F2" s="6" t="s">
        <v>16</v>
      </c>
      <c r="G2" s="7">
        <v>25000</v>
      </c>
      <c r="H2" s="8">
        <v>45839</v>
      </c>
      <c r="I2" s="9">
        <v>6.6463846064798418</v>
      </c>
      <c r="J2" s="8">
        <v>45779</v>
      </c>
      <c r="K2" s="8">
        <v>45832.35361539352</v>
      </c>
      <c r="L2" s="5" t="s">
        <v>102</v>
      </c>
    </row>
    <row r="3" spans="1:12" x14ac:dyDescent="0.2">
      <c r="A3" s="5" t="s">
        <v>17</v>
      </c>
      <c r="B3" s="5">
        <v>427189</v>
      </c>
      <c r="C3" s="5" t="s">
        <v>13</v>
      </c>
      <c r="D3" s="5" t="s">
        <v>18</v>
      </c>
      <c r="E3" s="6" t="s">
        <v>19</v>
      </c>
      <c r="F3" s="6" t="s">
        <v>16</v>
      </c>
      <c r="G3" s="7">
        <v>19442</v>
      </c>
      <c r="H3" s="8">
        <v>45843</v>
      </c>
      <c r="I3" s="9">
        <v>10.646384606479842</v>
      </c>
      <c r="J3" s="8">
        <v>45783</v>
      </c>
      <c r="K3" s="8">
        <v>45832.35361539352</v>
      </c>
      <c r="L3" s="5" t="s">
        <v>102</v>
      </c>
    </row>
    <row r="4" spans="1:12" x14ac:dyDescent="0.2">
      <c r="A4" s="5" t="s">
        <v>20</v>
      </c>
      <c r="B4" s="5">
        <v>428996</v>
      </c>
      <c r="C4" s="5" t="s">
        <v>21</v>
      </c>
      <c r="D4" s="5" t="s">
        <v>22</v>
      </c>
      <c r="E4" s="6" t="s">
        <v>23</v>
      </c>
      <c r="F4" s="6" t="s">
        <v>16</v>
      </c>
      <c r="G4" s="7">
        <v>36000</v>
      </c>
      <c r="H4" s="8">
        <v>45843</v>
      </c>
      <c r="I4" s="9">
        <v>10.646384606479842</v>
      </c>
      <c r="J4" s="8">
        <v>45783</v>
      </c>
      <c r="K4" s="8">
        <v>45832.35361539352</v>
      </c>
      <c r="L4" s="5" t="s">
        <v>102</v>
      </c>
    </row>
    <row r="5" spans="1:12" x14ac:dyDescent="0.2">
      <c r="A5" s="5" t="s">
        <v>24</v>
      </c>
      <c r="B5" s="5">
        <v>430228</v>
      </c>
      <c r="C5" s="5" t="s">
        <v>21</v>
      </c>
      <c r="D5" s="5" t="s">
        <v>25</v>
      </c>
      <c r="E5" s="6" t="s">
        <v>26</v>
      </c>
      <c r="F5" s="6" t="s">
        <v>16</v>
      </c>
      <c r="G5" s="7">
        <v>30750</v>
      </c>
      <c r="H5" s="8">
        <v>45845</v>
      </c>
      <c r="I5" s="9">
        <v>12.646384606479842</v>
      </c>
      <c r="J5" s="8">
        <v>45785</v>
      </c>
      <c r="K5" s="8">
        <v>45832.35361539352</v>
      </c>
      <c r="L5" s="5" t="s">
        <v>102</v>
      </c>
    </row>
    <row r="6" spans="1:12" x14ac:dyDescent="0.2">
      <c r="A6" s="5" t="s">
        <v>27</v>
      </c>
      <c r="B6" s="5">
        <v>425701</v>
      </c>
      <c r="C6" s="5" t="s">
        <v>28</v>
      </c>
      <c r="D6" s="5" t="s">
        <v>29</v>
      </c>
      <c r="E6" s="6" t="s">
        <v>30</v>
      </c>
      <c r="F6" s="6" t="s">
        <v>16</v>
      </c>
      <c r="G6" s="7">
        <v>36180</v>
      </c>
      <c r="H6" s="8">
        <v>45853</v>
      </c>
      <c r="I6" s="9">
        <v>20.646384606479842</v>
      </c>
      <c r="J6" s="8">
        <v>45793</v>
      </c>
      <c r="K6" s="8">
        <v>45832.35361539352</v>
      </c>
      <c r="L6" s="5" t="s">
        <v>102</v>
      </c>
    </row>
    <row r="7" spans="1:12" x14ac:dyDescent="0.2">
      <c r="A7" s="5" t="s">
        <v>31</v>
      </c>
      <c r="B7" s="5">
        <v>425475</v>
      </c>
      <c r="C7" s="5" t="s">
        <v>32</v>
      </c>
      <c r="D7" s="5" t="s">
        <v>33</v>
      </c>
      <c r="E7" s="6" t="s">
        <v>34</v>
      </c>
      <c r="F7" s="6" t="s">
        <v>16</v>
      </c>
      <c r="G7" s="7">
        <v>32645</v>
      </c>
      <c r="H7" s="8">
        <v>45853</v>
      </c>
      <c r="I7" s="9">
        <v>20.646384606479842</v>
      </c>
      <c r="J7" s="8">
        <v>45793</v>
      </c>
      <c r="K7" s="8">
        <v>45832.35361539352</v>
      </c>
      <c r="L7" s="5" t="s">
        <v>102</v>
      </c>
    </row>
    <row r="8" spans="1:12" x14ac:dyDescent="0.2">
      <c r="A8" s="10" t="s">
        <v>35</v>
      </c>
      <c r="B8" s="10">
        <v>431783</v>
      </c>
      <c r="C8" s="10" t="s">
        <v>32</v>
      </c>
      <c r="D8" s="10" t="s">
        <v>36</v>
      </c>
      <c r="E8" s="11" t="s">
        <v>37</v>
      </c>
      <c r="F8" s="11" t="s">
        <v>16</v>
      </c>
      <c r="G8" s="12">
        <v>56926</v>
      </c>
      <c r="H8" s="13">
        <v>45854</v>
      </c>
      <c r="I8" s="9">
        <v>21.646384606479842</v>
      </c>
      <c r="J8" s="8">
        <v>45794</v>
      </c>
      <c r="K8" s="8">
        <v>45832.35361539352</v>
      </c>
      <c r="L8" s="5" t="s">
        <v>102</v>
      </c>
    </row>
    <row r="9" spans="1:12" x14ac:dyDescent="0.2">
      <c r="A9" s="10" t="s">
        <v>38</v>
      </c>
      <c r="B9" s="10">
        <v>431836</v>
      </c>
      <c r="C9" s="10" t="s">
        <v>32</v>
      </c>
      <c r="D9" s="10" t="s">
        <v>39</v>
      </c>
      <c r="E9" s="11" t="s">
        <v>40</v>
      </c>
      <c r="F9" s="11" t="s">
        <v>16</v>
      </c>
      <c r="G9" s="12">
        <v>154055</v>
      </c>
      <c r="H9" s="13">
        <v>45854</v>
      </c>
      <c r="I9" s="9">
        <v>21.646384606479842</v>
      </c>
      <c r="J9" s="8">
        <v>45794</v>
      </c>
      <c r="K9" s="8">
        <v>45832.35361539352</v>
      </c>
      <c r="L9" s="5" t="s">
        <v>102</v>
      </c>
    </row>
    <row r="10" spans="1:12" x14ac:dyDescent="0.2">
      <c r="A10" s="5" t="s">
        <v>41</v>
      </c>
      <c r="B10" s="5">
        <v>423785</v>
      </c>
      <c r="C10" s="5" t="s">
        <v>42</v>
      </c>
      <c r="D10" s="5" t="s">
        <v>43</v>
      </c>
      <c r="E10" s="6" t="s">
        <v>44</v>
      </c>
      <c r="F10" s="6" t="s">
        <v>16</v>
      </c>
      <c r="G10" s="7">
        <v>138058.65</v>
      </c>
      <c r="H10" s="8">
        <v>45861</v>
      </c>
      <c r="I10" s="9">
        <v>28.646384606479842</v>
      </c>
      <c r="J10" s="8">
        <v>45801</v>
      </c>
      <c r="K10" s="8">
        <v>45832.35361539352</v>
      </c>
      <c r="L10" s="5" t="s">
        <v>102</v>
      </c>
    </row>
    <row r="11" spans="1:12" x14ac:dyDescent="0.2">
      <c r="A11" s="5" t="s">
        <v>45</v>
      </c>
      <c r="B11" s="5">
        <v>429007</v>
      </c>
      <c r="C11" s="5" t="s">
        <v>13</v>
      </c>
      <c r="D11" s="5" t="s">
        <v>46</v>
      </c>
      <c r="E11" s="6" t="s">
        <v>47</v>
      </c>
      <c r="F11" s="6" t="s">
        <v>16</v>
      </c>
      <c r="G11" s="7">
        <v>31590</v>
      </c>
      <c r="H11" s="8">
        <v>45862</v>
      </c>
      <c r="I11" s="9">
        <v>29.646384606479842</v>
      </c>
      <c r="J11" s="8">
        <v>45802</v>
      </c>
      <c r="K11" s="8">
        <v>45832.35361539352</v>
      </c>
      <c r="L11" s="5" t="s">
        <v>102</v>
      </c>
    </row>
    <row r="12" spans="1:12" x14ac:dyDescent="0.2">
      <c r="A12" s="5" t="s">
        <v>48</v>
      </c>
      <c r="B12" s="5">
        <v>425031</v>
      </c>
      <c r="C12" s="5" t="s">
        <v>13</v>
      </c>
      <c r="D12" s="5" t="s">
        <v>49</v>
      </c>
      <c r="E12" s="6" t="s">
        <v>19</v>
      </c>
      <c r="F12" s="6" t="s">
        <v>16</v>
      </c>
      <c r="G12" s="7">
        <v>21270</v>
      </c>
      <c r="H12" s="8">
        <v>45863</v>
      </c>
      <c r="I12" s="9">
        <v>30.646384606479842</v>
      </c>
      <c r="J12" s="8">
        <v>45803</v>
      </c>
      <c r="K12" s="8">
        <v>45832.35361539352</v>
      </c>
      <c r="L12" s="5" t="s">
        <v>102</v>
      </c>
    </row>
    <row r="13" spans="1:12" x14ac:dyDescent="0.2">
      <c r="A13" s="5" t="s">
        <v>50</v>
      </c>
      <c r="B13" s="5">
        <v>429537</v>
      </c>
      <c r="C13" s="5" t="s">
        <v>13</v>
      </c>
      <c r="D13" s="5" t="s">
        <v>51</v>
      </c>
      <c r="E13" s="6" t="s">
        <v>19</v>
      </c>
      <c r="F13" s="6" t="s">
        <v>16</v>
      </c>
      <c r="G13" s="7">
        <v>613607</v>
      </c>
      <c r="H13" s="8">
        <v>45864</v>
      </c>
      <c r="I13" s="9">
        <v>31.646384606479842</v>
      </c>
      <c r="J13" s="8">
        <v>45804</v>
      </c>
      <c r="K13" s="8">
        <v>45832.35361539352</v>
      </c>
      <c r="L13" s="5" t="s">
        <v>102</v>
      </c>
    </row>
    <row r="14" spans="1:12" x14ac:dyDescent="0.2">
      <c r="A14" s="5" t="s">
        <v>52</v>
      </c>
      <c r="B14" s="5">
        <v>430563</v>
      </c>
      <c r="C14" s="5" t="s">
        <v>21</v>
      </c>
      <c r="D14" s="5" t="s">
        <v>53</v>
      </c>
      <c r="E14" s="6" t="s">
        <v>26</v>
      </c>
      <c r="F14" s="6" t="s">
        <v>16</v>
      </c>
      <c r="G14" s="7">
        <v>170609</v>
      </c>
      <c r="H14" s="8">
        <v>45864</v>
      </c>
      <c r="I14" s="9">
        <v>31.646384606479842</v>
      </c>
      <c r="J14" s="8">
        <v>45804</v>
      </c>
      <c r="K14" s="8">
        <v>45832.35361539352</v>
      </c>
      <c r="L14" s="5" t="s">
        <v>102</v>
      </c>
    </row>
    <row r="15" spans="1:12" x14ac:dyDescent="0.2">
      <c r="A15" s="5" t="s">
        <v>54</v>
      </c>
      <c r="B15" s="5">
        <v>429356</v>
      </c>
      <c r="C15" s="5" t="s">
        <v>13</v>
      </c>
      <c r="D15" s="5" t="s">
        <v>55</v>
      </c>
      <c r="E15" s="6" t="s">
        <v>47</v>
      </c>
      <c r="F15" s="6" t="s">
        <v>16</v>
      </c>
      <c r="G15" s="7">
        <v>34500</v>
      </c>
      <c r="H15" s="8">
        <v>45865</v>
      </c>
      <c r="I15" s="9">
        <v>32.646384606479842</v>
      </c>
      <c r="J15" s="8">
        <v>45805</v>
      </c>
      <c r="K15" s="8">
        <v>45832.35361539352</v>
      </c>
      <c r="L15" s="5" t="s">
        <v>102</v>
      </c>
    </row>
    <row r="16" spans="1:12" x14ac:dyDescent="0.2">
      <c r="A16" s="5" t="s">
        <v>56</v>
      </c>
      <c r="B16" s="5">
        <v>430921</v>
      </c>
      <c r="C16" s="5" t="s">
        <v>28</v>
      </c>
      <c r="D16" s="5" t="s">
        <v>57</v>
      </c>
      <c r="E16" s="6" t="s">
        <v>58</v>
      </c>
      <c r="F16" s="6" t="s">
        <v>16</v>
      </c>
      <c r="G16" s="7">
        <v>30150</v>
      </c>
      <c r="H16" s="8">
        <v>45868</v>
      </c>
      <c r="I16" s="9">
        <v>35.646384606479842</v>
      </c>
      <c r="J16" s="8">
        <v>45808</v>
      </c>
      <c r="K16" s="8">
        <v>45832.35361539352</v>
      </c>
      <c r="L16" s="5" t="s">
        <v>102</v>
      </c>
    </row>
    <row r="17" spans="1:12" x14ac:dyDescent="0.2">
      <c r="A17" s="5" t="s">
        <v>59</v>
      </c>
      <c r="B17" s="5">
        <v>423622</v>
      </c>
      <c r="C17" s="5" t="s">
        <v>28</v>
      </c>
      <c r="D17" s="5" t="s">
        <v>60</v>
      </c>
      <c r="E17" s="6" t="s">
        <v>61</v>
      </c>
      <c r="F17" s="6" t="s">
        <v>16</v>
      </c>
      <c r="G17" s="7">
        <v>25500</v>
      </c>
      <c r="H17" s="8">
        <v>45869</v>
      </c>
      <c r="I17" s="9">
        <v>36.646384606479842</v>
      </c>
      <c r="J17" s="8">
        <v>45809</v>
      </c>
      <c r="K17" s="8">
        <v>45832.35361539352</v>
      </c>
      <c r="L17" s="5" t="s">
        <v>102</v>
      </c>
    </row>
    <row r="18" spans="1:12" x14ac:dyDescent="0.2">
      <c r="A18" s="5" t="s">
        <v>62</v>
      </c>
      <c r="B18" s="5">
        <v>424050</v>
      </c>
      <c r="C18" s="5" t="s">
        <v>63</v>
      </c>
      <c r="D18" s="5" t="s">
        <v>64</v>
      </c>
      <c r="E18" s="6" t="s">
        <v>65</v>
      </c>
      <c r="F18" s="6" t="s">
        <v>16</v>
      </c>
      <c r="G18" s="7">
        <v>17000</v>
      </c>
      <c r="H18" s="8">
        <v>45869</v>
      </c>
      <c r="I18" s="9">
        <v>36.646384606479842</v>
      </c>
      <c r="J18" s="8">
        <v>45809</v>
      </c>
      <c r="K18" s="8">
        <v>45832.35361539352</v>
      </c>
      <c r="L18" s="5" t="s">
        <v>102</v>
      </c>
    </row>
    <row r="19" spans="1:12" x14ac:dyDescent="0.2">
      <c r="A19" s="5" t="s">
        <v>66</v>
      </c>
      <c r="B19" s="5">
        <v>428787</v>
      </c>
      <c r="C19" s="5" t="s">
        <v>32</v>
      </c>
      <c r="D19" s="5" t="s">
        <v>67</v>
      </c>
      <c r="E19" s="6" t="s">
        <v>68</v>
      </c>
      <c r="F19" s="6" t="s">
        <v>16</v>
      </c>
      <c r="G19" s="7">
        <v>3673340</v>
      </c>
      <c r="H19" s="8">
        <v>45869</v>
      </c>
      <c r="I19" s="9">
        <v>36.646384606479842</v>
      </c>
      <c r="J19" s="8">
        <v>45809</v>
      </c>
      <c r="K19" s="8">
        <v>45832.35361539352</v>
      </c>
      <c r="L19" s="5" t="s">
        <v>102</v>
      </c>
    </row>
    <row r="20" spans="1:12" x14ac:dyDescent="0.2">
      <c r="A20" s="10" t="s">
        <v>69</v>
      </c>
      <c r="B20" s="10">
        <v>431835</v>
      </c>
      <c r="C20" s="10" t="s">
        <v>70</v>
      </c>
      <c r="D20" s="10" t="s">
        <v>71</v>
      </c>
      <c r="E20" s="11" t="s">
        <v>72</v>
      </c>
      <c r="F20" s="11" t="s">
        <v>16</v>
      </c>
      <c r="G20" s="12">
        <v>237510</v>
      </c>
      <c r="H20" s="13">
        <v>45869</v>
      </c>
      <c r="I20" s="9">
        <v>36.646384606479842</v>
      </c>
      <c r="J20" s="8">
        <v>45809</v>
      </c>
      <c r="K20" s="8">
        <v>45832.35361539352</v>
      </c>
      <c r="L20" s="5" t="s">
        <v>102</v>
      </c>
    </row>
    <row r="21" spans="1:12" x14ac:dyDescent="0.2">
      <c r="A21" s="5" t="s">
        <v>73</v>
      </c>
      <c r="B21" s="5">
        <v>431932</v>
      </c>
      <c r="C21" s="5" t="s">
        <v>32</v>
      </c>
      <c r="D21" s="5" t="s">
        <v>74</v>
      </c>
      <c r="E21" s="6" t="s">
        <v>75</v>
      </c>
      <c r="F21" s="6" t="s">
        <v>16</v>
      </c>
      <c r="G21" s="7">
        <v>928354</v>
      </c>
      <c r="H21" s="8">
        <v>45868</v>
      </c>
      <c r="I21" s="9">
        <v>35.646384606479842</v>
      </c>
      <c r="J21" s="8">
        <v>45808</v>
      </c>
      <c r="K21" s="8">
        <v>45832.35361539352</v>
      </c>
      <c r="L21" s="5" t="s">
        <v>102</v>
      </c>
    </row>
    <row r="22" spans="1:12" x14ac:dyDescent="0.2">
      <c r="A22" s="5" t="s">
        <v>76</v>
      </c>
      <c r="B22" s="5">
        <v>435429</v>
      </c>
      <c r="C22" s="5" t="s">
        <v>13</v>
      </c>
      <c r="D22" s="5" t="s">
        <v>77</v>
      </c>
      <c r="E22" s="6" t="s">
        <v>19</v>
      </c>
      <c r="F22" s="6" t="s">
        <v>16</v>
      </c>
      <c r="G22" s="7">
        <v>214130</v>
      </c>
      <c r="H22" s="8">
        <v>45853</v>
      </c>
      <c r="I22" s="9">
        <v>20.646384606479842</v>
      </c>
      <c r="J22" s="8">
        <v>45793</v>
      </c>
      <c r="K22" s="8">
        <v>45832.35361539352</v>
      </c>
      <c r="L22" s="5" t="s">
        <v>102</v>
      </c>
    </row>
    <row r="23" spans="1:12" x14ac:dyDescent="0.2">
      <c r="A23" s="10" t="s">
        <v>78</v>
      </c>
      <c r="B23" s="10">
        <v>436013</v>
      </c>
      <c r="C23" s="10" t="s">
        <v>21</v>
      </c>
      <c r="D23" s="10" t="s">
        <v>79</v>
      </c>
      <c r="E23" s="11" t="s">
        <v>80</v>
      </c>
      <c r="F23" s="11" t="s">
        <v>81</v>
      </c>
      <c r="G23" s="12">
        <v>180934</v>
      </c>
      <c r="H23" s="14">
        <v>45869</v>
      </c>
      <c r="I23" s="9">
        <v>36.646384606479842</v>
      </c>
      <c r="J23" s="8">
        <v>45809</v>
      </c>
      <c r="K23" s="8">
        <v>45832.35361539352</v>
      </c>
      <c r="L23" s="5" t="s">
        <v>102</v>
      </c>
    </row>
    <row r="24" spans="1:12" x14ac:dyDescent="0.2">
      <c r="A24" s="10" t="s">
        <v>82</v>
      </c>
      <c r="B24" s="10">
        <v>432236</v>
      </c>
      <c r="C24" s="5" t="s">
        <v>28</v>
      </c>
      <c r="D24" s="10" t="s">
        <v>83</v>
      </c>
      <c r="E24" s="11" t="s">
        <v>47</v>
      </c>
      <c r="F24" s="11" t="s">
        <v>81</v>
      </c>
      <c r="G24" s="12">
        <v>66813</v>
      </c>
      <c r="H24" s="14">
        <v>45869</v>
      </c>
      <c r="I24" s="9">
        <v>36.646384606479842</v>
      </c>
      <c r="J24" s="8">
        <v>45809</v>
      </c>
      <c r="K24" s="8">
        <v>45832.35361539352</v>
      </c>
      <c r="L24" s="5" t="s">
        <v>102</v>
      </c>
    </row>
    <row r="25" spans="1:12" x14ac:dyDescent="0.2">
      <c r="A25" s="15" t="s">
        <v>84</v>
      </c>
      <c r="B25" s="15" t="s">
        <v>85</v>
      </c>
      <c r="C25" s="15" t="s">
        <v>13</v>
      </c>
      <c r="D25" s="15" t="s">
        <v>86</v>
      </c>
      <c r="E25" s="15" t="s">
        <v>87</v>
      </c>
      <c r="F25" s="15" t="s">
        <v>81</v>
      </c>
      <c r="G25" s="16">
        <v>31755</v>
      </c>
      <c r="H25" s="14">
        <v>45853</v>
      </c>
      <c r="I25" s="17">
        <v>20.646384606479842</v>
      </c>
      <c r="J25" s="8">
        <v>45793</v>
      </c>
      <c r="K25" s="8">
        <v>45832.35361539352</v>
      </c>
      <c r="L25" s="5" t="s">
        <v>102</v>
      </c>
    </row>
    <row r="26" spans="1:12" x14ac:dyDescent="0.2">
      <c r="A26" s="15" t="s">
        <v>88</v>
      </c>
      <c r="B26" s="15">
        <v>432110</v>
      </c>
      <c r="C26" s="15" t="s">
        <v>70</v>
      </c>
      <c r="D26" s="15" t="s">
        <v>89</v>
      </c>
      <c r="E26" s="15" t="s">
        <v>90</v>
      </c>
      <c r="F26" s="15" t="s">
        <v>81</v>
      </c>
      <c r="G26" s="16">
        <v>57600</v>
      </c>
      <c r="H26" s="14">
        <v>45867</v>
      </c>
      <c r="I26" s="17">
        <v>34.646384606479842</v>
      </c>
      <c r="J26" s="8">
        <v>45807</v>
      </c>
      <c r="K26" s="8">
        <v>45832.35361539352</v>
      </c>
      <c r="L26" s="5" t="s">
        <v>102</v>
      </c>
    </row>
    <row r="27" spans="1:12" x14ac:dyDescent="0.2">
      <c r="A27" s="15" t="s">
        <v>91</v>
      </c>
      <c r="B27" s="15">
        <v>431940</v>
      </c>
      <c r="C27" s="15" t="s">
        <v>70</v>
      </c>
      <c r="D27" s="15" t="s">
        <v>92</v>
      </c>
      <c r="E27" s="15" t="s">
        <v>93</v>
      </c>
      <c r="F27" s="15" t="s">
        <v>81</v>
      </c>
      <c r="G27" s="16">
        <v>178628</v>
      </c>
      <c r="H27" s="14">
        <v>45860</v>
      </c>
      <c r="I27" s="17">
        <v>27.646384606479842</v>
      </c>
      <c r="J27" s="8">
        <v>45800</v>
      </c>
      <c r="K27" s="8">
        <v>45832.35361539352</v>
      </c>
      <c r="L27" s="5" t="s">
        <v>102</v>
      </c>
    </row>
    <row r="28" spans="1:12" x14ac:dyDescent="0.2">
      <c r="A28" s="5" t="s">
        <v>94</v>
      </c>
      <c r="B28" s="5">
        <v>3589</v>
      </c>
      <c r="C28" s="5" t="s">
        <v>95</v>
      </c>
      <c r="D28" s="5" t="s">
        <v>96</v>
      </c>
      <c r="E28" s="6" t="s">
        <v>97</v>
      </c>
      <c r="F28" s="6" t="s">
        <v>16</v>
      </c>
      <c r="G28" s="7">
        <v>26057</v>
      </c>
      <c r="H28" s="8">
        <v>45841</v>
      </c>
      <c r="I28" s="9">
        <f t="shared" ref="I28:I29" ca="1" si="0">H28-K28</f>
        <v>6.6811149305576691</v>
      </c>
      <c r="J28" s="8">
        <f t="shared" ref="J28:J29" si="1">H28-60</f>
        <v>45781</v>
      </c>
      <c r="K28" s="8">
        <f t="shared" ref="K28:K29" ca="1" si="2">NOW()</f>
        <v>45834.318885069442</v>
      </c>
      <c r="L28" s="5" t="s">
        <v>101</v>
      </c>
    </row>
    <row r="29" spans="1:12" x14ac:dyDescent="0.2">
      <c r="A29" s="5" t="s">
        <v>98</v>
      </c>
      <c r="B29" s="5">
        <v>3390</v>
      </c>
      <c r="C29" s="5" t="s">
        <v>70</v>
      </c>
      <c r="D29" s="5" t="s">
        <v>99</v>
      </c>
      <c r="E29" s="6" t="s">
        <v>100</v>
      </c>
      <c r="F29" s="6" t="s">
        <v>16</v>
      </c>
      <c r="G29" s="7">
        <v>55620</v>
      </c>
      <c r="H29" s="8">
        <v>45858</v>
      </c>
      <c r="I29" s="9">
        <f t="shared" ca="1" si="0"/>
        <v>23.681114930557669</v>
      </c>
      <c r="J29" s="8">
        <f t="shared" si="1"/>
        <v>45798</v>
      </c>
      <c r="K29" s="8">
        <f t="shared" ca="1" si="2"/>
        <v>45834.318885069442</v>
      </c>
      <c r="L29" s="5" t="s">
        <v>101</v>
      </c>
    </row>
  </sheetData>
  <conditionalFormatting sqref="A1">
    <cfRule type="duplicateValues" dxfId="13" priority="14"/>
  </conditionalFormatting>
  <conditionalFormatting sqref="I1:I27">
    <cfRule type="cellIs" dxfId="12" priority="13" operator="lessThan">
      <formula>0</formula>
    </cfRule>
  </conditionalFormatting>
  <conditionalFormatting sqref="D23:D27 D1">
    <cfRule type="duplicateValues" dxfId="11" priority="12"/>
  </conditionalFormatting>
  <conditionalFormatting sqref="B23:B27 B1">
    <cfRule type="duplicateValues" dxfId="10" priority="11"/>
  </conditionalFormatting>
  <conditionalFormatting sqref="D23:D27 D1">
    <cfRule type="duplicateValues" dxfId="9" priority="10"/>
  </conditionalFormatting>
  <conditionalFormatting sqref="D1">
    <cfRule type="duplicateValues" dxfId="8" priority="9"/>
  </conditionalFormatting>
  <conditionalFormatting sqref="B1">
    <cfRule type="duplicateValues" dxfId="7" priority="8"/>
  </conditionalFormatting>
  <conditionalFormatting sqref="B2:B4">
    <cfRule type="duplicateValues" dxfId="6" priority="7"/>
  </conditionalFormatting>
  <conditionalFormatting sqref="D2:D4">
    <cfRule type="duplicateValues" dxfId="5" priority="6"/>
  </conditionalFormatting>
  <conditionalFormatting sqref="B5:B20">
    <cfRule type="duplicateValues" dxfId="4" priority="5"/>
  </conditionalFormatting>
  <conditionalFormatting sqref="D5:D20">
    <cfRule type="duplicateValues" dxfId="3" priority="4"/>
  </conditionalFormatting>
  <conditionalFormatting sqref="D21:D22">
    <cfRule type="duplicateValues" dxfId="2" priority="3"/>
  </conditionalFormatting>
  <conditionalFormatting sqref="B21:B22">
    <cfRule type="duplicateValues" dxfId="1" priority="2"/>
  </conditionalFormatting>
  <conditionalFormatting sqref="I28:I29">
    <cfRule type="cellIs" dxfId="0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549A70E79814BB9CDD395F34505D2" ma:contentTypeVersion="15" ma:contentTypeDescription="Create a new document." ma:contentTypeScope="" ma:versionID="a5d8606eb9224c55e58613cee84171a6">
  <xsd:schema xmlns:xsd="http://www.w3.org/2001/XMLSchema" xmlns:xs="http://www.w3.org/2001/XMLSchema" xmlns:p="http://schemas.microsoft.com/office/2006/metadata/properties" xmlns:ns3="04effa5f-b871-4895-a95c-12b8d4119a94" xmlns:ns4="116c44f1-5dd1-4dba-9b67-7d817de06e51" targetNamespace="http://schemas.microsoft.com/office/2006/metadata/properties" ma:root="true" ma:fieldsID="9d764a519d3adf17223f3c27fe3c6d99" ns3:_="" ns4:_="">
    <xsd:import namespace="04effa5f-b871-4895-a95c-12b8d4119a94"/>
    <xsd:import namespace="116c44f1-5dd1-4dba-9b67-7d817de06e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ffa5f-b871-4895-a95c-12b8d4119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c44f1-5dd1-4dba-9b67-7d817de06e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ffa5f-b871-4895-a95c-12b8d4119a94" xsi:nil="true"/>
  </documentManagement>
</p:properties>
</file>

<file path=customXml/itemProps1.xml><?xml version="1.0" encoding="utf-8"?>
<ds:datastoreItem xmlns:ds="http://schemas.openxmlformats.org/officeDocument/2006/customXml" ds:itemID="{B430E1C2-CFD3-4150-88D2-D8294C710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ffa5f-b871-4895-a95c-12b8d4119a94"/>
    <ds:schemaRef ds:uri="116c44f1-5dd1-4dba-9b67-7d817de06e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8ABC46-A0AB-46F6-B2DA-455D507C62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5D58BE-6DC6-46F1-BA9A-0A02A01FFDE9}">
  <ds:schemaRefs>
    <ds:schemaRef ds:uri="http://purl.org/dc/elements/1.1/"/>
    <ds:schemaRef ds:uri="http://schemas.microsoft.com/office/infopath/2007/PartnerControls"/>
    <ds:schemaRef ds:uri="116c44f1-5dd1-4dba-9b67-7d817de06e51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04effa5f-b871-4895-a95c-12b8d4119a94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2025-06-26T04:44:16Z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0x0101008D7549A70E79814BB9CDD395F34505D2</vt:lpwstr>
  </property>
</Properties>
</file>