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kfshrcedusa-my.sharepoint.com/personal/f1501506_kfshrc_edu_sa/Documents/Packup/BG/7-2025/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1" l="1"/>
  <c r="G17" i="1" s="1"/>
  <c r="H17" i="1"/>
  <c r="K16" i="1"/>
  <c r="G16" i="1" s="1"/>
  <c r="H16" i="1"/>
  <c r="K15" i="1"/>
  <c r="G15" i="1" s="1"/>
  <c r="H15" i="1"/>
  <c r="K14" i="1"/>
  <c r="G14" i="1" s="1"/>
  <c r="H14" i="1"/>
  <c r="K13" i="1"/>
  <c r="G13" i="1" s="1"/>
  <c r="H13" i="1"/>
  <c r="K12" i="1"/>
  <c r="G12" i="1" s="1"/>
  <c r="H12" i="1"/>
  <c r="K11" i="1"/>
  <c r="G11" i="1" s="1"/>
  <c r="H11" i="1"/>
  <c r="K10" i="1"/>
  <c r="G10" i="1" s="1"/>
  <c r="H10" i="1"/>
  <c r="K9" i="1"/>
  <c r="G9" i="1" s="1"/>
  <c r="H9" i="1"/>
  <c r="K8" i="1"/>
  <c r="G8" i="1" s="1"/>
  <c r="H8" i="1"/>
  <c r="K7" i="1"/>
  <c r="G7" i="1" s="1"/>
  <c r="H7" i="1"/>
  <c r="K6" i="1"/>
  <c r="G6" i="1" s="1"/>
  <c r="H6" i="1"/>
  <c r="K5" i="1"/>
  <c r="G5" i="1" s="1"/>
  <c r="H5" i="1"/>
  <c r="K4" i="1"/>
  <c r="G4" i="1" s="1"/>
  <c r="H4" i="1"/>
  <c r="K3" i="1"/>
  <c r="G3" i="1" s="1"/>
  <c r="H3" i="1"/>
  <c r="K2" i="1"/>
  <c r="G2" i="1" s="1"/>
  <c r="H2" i="1"/>
</calcChain>
</file>

<file path=xl/sharedStrings.xml><?xml version="1.0" encoding="utf-8"?>
<sst xmlns="http://schemas.openxmlformats.org/spreadsheetml/2006/main" count="105" uniqueCount="72">
  <si>
    <t>S/N</t>
  </si>
  <si>
    <t>CONTRACTOR NAME</t>
  </si>
  <si>
    <t>BANK GUARANTEE NUMBER</t>
  </si>
  <si>
    <t>BANK NAME</t>
  </si>
  <si>
    <t>AMOUNT</t>
  </si>
  <si>
    <t>VALIDITY DATE</t>
  </si>
  <si>
    <t>DAYS VALID</t>
  </si>
  <si>
    <t>RENEWAL DATE</t>
  </si>
  <si>
    <t>CONTRACT NO.</t>
  </si>
  <si>
    <t>Type</t>
  </si>
  <si>
    <t>Today</t>
  </si>
  <si>
    <t xml:space="preserve">NCB </t>
  </si>
  <si>
    <t>FINAL</t>
  </si>
  <si>
    <t>RIYAD BANK</t>
  </si>
  <si>
    <t>SNB</t>
  </si>
  <si>
    <t>SABB</t>
  </si>
  <si>
    <t>ALBILAD BANK</t>
  </si>
  <si>
    <t>ALINMA BANK</t>
  </si>
  <si>
    <t>BANQUE SAUDI FRANSI</t>
  </si>
  <si>
    <t xml:space="preserve"> ALJAZIRA BANK</t>
  </si>
  <si>
    <t>ALRAJHI BANK</t>
  </si>
  <si>
    <t>LANA MEDICAL COMPANY</t>
  </si>
  <si>
    <t>ANB</t>
  </si>
  <si>
    <t>SAB</t>
  </si>
  <si>
    <t>SAMNAN FOR OPERATION AND MAINTENANCE</t>
  </si>
  <si>
    <t>ILGSA025451</t>
  </si>
  <si>
    <t>SAUDI INVESTMENT BANK</t>
  </si>
  <si>
    <t>C/0151/23</t>
  </si>
  <si>
    <t>CARE &amp; PLANNING FOR HOSPITAL CO. LTD</t>
  </si>
  <si>
    <t>LGI-0840-23-9322</t>
  </si>
  <si>
    <t>C/0264/23</t>
  </si>
  <si>
    <t xml:space="preserve">Abdulrahman algosaibi for trading </t>
  </si>
  <si>
    <t>C202462</t>
  </si>
  <si>
    <t>C/0080/41</t>
  </si>
  <si>
    <t>FAROUK, MAAMOUN TAMER &amp; CO.</t>
  </si>
  <si>
    <t>LGI-0840-23-9388</t>
  </si>
  <si>
    <t>C/0143/23</t>
  </si>
  <si>
    <t xml:space="preserve">Bank Guarantee Status </t>
  </si>
  <si>
    <t>24OGTE48803081</t>
  </si>
  <si>
    <t>C/0126/23</t>
  </si>
  <si>
    <t>ERNST &amp; YOUNG</t>
  </si>
  <si>
    <t>PEBHOR514737</t>
  </si>
  <si>
    <t xml:space="preserve">شركة ابراهيم محمد العبود للتنمية </t>
  </si>
  <si>
    <t>M113711</t>
  </si>
  <si>
    <t>C/0004/22</t>
  </si>
  <si>
    <t>ADWAA ALRAHMA FOR SAFETY</t>
  </si>
  <si>
    <t>MD2413599001</t>
  </si>
  <si>
    <t>C/0146/24</t>
  </si>
  <si>
    <t>GULF MEDICAL CO. LTD.</t>
  </si>
  <si>
    <t>094540J</t>
  </si>
  <si>
    <t>C/0106/24</t>
  </si>
  <si>
    <t>Health Links</t>
  </si>
  <si>
    <t>LGI-0858-22-6268</t>
  </si>
  <si>
    <t>C/0068/22</t>
  </si>
  <si>
    <t>JERAISY OF RIYADH HOUSE</t>
  </si>
  <si>
    <t>MD2421800034</t>
  </si>
  <si>
    <t>شركة الأمين للتجهيزات الطبيه والعلميه</t>
  </si>
  <si>
    <t>089157J</t>
  </si>
  <si>
    <t>C/0021/43</t>
  </si>
  <si>
    <t>SAUDI COMPANY FOR ELECRTONIC COMPUTER</t>
  </si>
  <si>
    <t>PEBGCU425239</t>
  </si>
  <si>
    <t>C/0046/40</t>
  </si>
  <si>
    <t>الشركة السعوديه للحاسبات الالكترونية المحدوده</t>
  </si>
  <si>
    <t>JLG6502738</t>
  </si>
  <si>
    <t>C/0037/42</t>
  </si>
  <si>
    <t>Axelerated solutions Co.</t>
  </si>
  <si>
    <t>APNGCU391482</t>
  </si>
  <si>
    <t>C/0005/43</t>
  </si>
  <si>
    <t>AL HADA CONTRACTING CO. LTD</t>
  </si>
  <si>
    <t>OG/CC062763</t>
  </si>
  <si>
    <t>للتمديد</t>
  </si>
  <si>
    <t>للإفراج حسب خطاب الإدارة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</si>
</sst>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#,##0.00;[Red]#,##0.00"/>
    <numFmt numFmtId="165" formatCode="[$-409]d\-mmm\-yyyy;@"/>
    <numFmt numFmtId="166" formatCode="0_);[Red]\(0\)"/>
  </numFmts>
  <fonts count="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9"/>
      <color theme="0"/>
      <name val="Arial"/>
      <family val="2"/>
    </font>
    <font>
      <b/>
      <sz val="9"/>
      <color theme="0"/>
      <name val="Arial"/>
      <family val="2"/>
      <scheme val="minor"/>
    </font>
    <font>
      <sz val="9"/>
      <name val="Arial"/>
      <family val="2"/>
    </font>
    <font>
      <sz val="9"/>
      <name val="Arial"/>
      <family val="2"/>
      <scheme val="minor"/>
    </font>
    <font>
      <sz val="9"/>
      <color theme="1"/>
      <name val="Arial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2" fillId="2" borderId="2" xfId="0" applyNumberFormat="1" applyFont="1" applyFill="1" applyBorder="1" applyAlignment="1">
      <alignment horizontal="center" vertical="center" wrapText="1" readingOrder="1"/>
    </xf>
    <xf numFmtId="165" fontId="2" fillId="2" borderId="2" xfId="0" applyNumberFormat="1" applyFont="1" applyFill="1" applyBorder="1" applyAlignment="1">
      <alignment horizontal="center" vertical="center" wrapText="1" readingOrder="1"/>
    </xf>
    <xf numFmtId="166" fontId="3" fillId="2" borderId="2" xfId="1" applyNumberFormat="1" applyFont="1" applyFill="1" applyBorder="1" applyAlignment="1">
      <alignment horizontal="center" vertical="center" wrapText="1" readingOrder="1"/>
    </xf>
    <xf numFmtId="165" fontId="2" fillId="2" borderId="2" xfId="0" applyNumberFormat="1" applyFont="1" applyFill="1" applyBorder="1" applyAlignment="1" applyProtection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165" fontId="3" fillId="2" borderId="2" xfId="0" applyNumberFormat="1" applyFont="1" applyFill="1" applyBorder="1" applyAlignment="1">
      <alignment horizontal="center" vertical="center" wrapText="1" readingOrder="1"/>
    </xf>
    <xf numFmtId="165" fontId="3" fillId="2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 readingOrder="1"/>
    </xf>
    <xf numFmtId="0" fontId="4" fillId="0" borderId="2" xfId="0" applyFont="1" applyFill="1" applyBorder="1" applyAlignment="1">
      <alignment horizontal="center" vertical="center" wrapText="1" readingOrder="1"/>
    </xf>
    <xf numFmtId="164" fontId="4" fillId="0" borderId="2" xfId="0" applyNumberFormat="1" applyFont="1" applyFill="1" applyBorder="1" applyAlignment="1">
      <alignment horizontal="center" vertical="center" wrapText="1" readingOrder="1"/>
    </xf>
    <xf numFmtId="165" fontId="4" fillId="0" borderId="2" xfId="0" applyNumberFormat="1" applyFont="1" applyFill="1" applyBorder="1" applyAlignment="1">
      <alignment horizontal="center" vertical="center" wrapText="1" readingOrder="1"/>
    </xf>
    <xf numFmtId="166" fontId="5" fillId="0" borderId="2" xfId="1" applyNumberFormat="1" applyFont="1" applyFill="1" applyBorder="1" applyAlignment="1">
      <alignment horizontal="center" vertical="center" wrapText="1" readingOrder="1"/>
    </xf>
    <xf numFmtId="165" fontId="4" fillId="0" borderId="2" xfId="0" applyNumberFormat="1" applyFont="1" applyFill="1" applyBorder="1" applyAlignment="1" applyProtection="1">
      <alignment horizontal="center" vertical="center" wrapText="1" readingOrder="1"/>
    </xf>
    <xf numFmtId="0" fontId="5" fillId="0" borderId="2" xfId="0" applyFont="1" applyFill="1" applyBorder="1" applyAlignment="1">
      <alignment horizontal="center" vertical="center" wrapText="1" readingOrder="1"/>
    </xf>
    <xf numFmtId="165" fontId="5" fillId="0" borderId="2" xfId="0" applyNumberFormat="1" applyFont="1" applyFill="1" applyBorder="1" applyAlignment="1">
      <alignment horizontal="center" vertical="center" wrapText="1" readingOrder="1"/>
    </xf>
    <xf numFmtId="165" fontId="6" fillId="0" borderId="2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 applyAlignment="1"/>
    <xf numFmtId="0" fontId="8" fillId="0" borderId="2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164" fontId="4" fillId="3" borderId="2" xfId="0" applyNumberFormat="1" applyFont="1" applyFill="1" applyBorder="1" applyAlignment="1">
      <alignment horizontal="center" vertical="center" wrapText="1" readingOrder="1"/>
    </xf>
    <xf numFmtId="165" fontId="4" fillId="3" borderId="2" xfId="0" applyNumberFormat="1" applyFont="1" applyFill="1" applyBorder="1" applyAlignment="1">
      <alignment horizontal="center" vertical="center" wrapText="1" readingOrder="1"/>
    </xf>
    <xf numFmtId="166" fontId="5" fillId="3" borderId="2" xfId="1" applyNumberFormat="1" applyFont="1" applyFill="1" applyBorder="1" applyAlignment="1">
      <alignment horizontal="center" vertical="center" wrapText="1" readingOrder="1"/>
    </xf>
    <xf numFmtId="165" fontId="4" fillId="3" borderId="2" xfId="0" applyNumberFormat="1" applyFont="1" applyFill="1" applyBorder="1" applyAlignment="1" applyProtection="1">
      <alignment horizontal="center" vertical="center" wrapText="1" readingOrder="1"/>
    </xf>
    <xf numFmtId="0" fontId="5" fillId="3" borderId="2" xfId="0" applyFont="1" applyFill="1" applyBorder="1" applyAlignment="1">
      <alignment horizontal="center" vertical="center" wrapText="1" readingOrder="1"/>
    </xf>
    <xf numFmtId="165" fontId="5" fillId="3" borderId="2" xfId="0" applyNumberFormat="1" applyFont="1" applyFill="1" applyBorder="1" applyAlignment="1">
      <alignment horizontal="center" vertical="center" wrapText="1" readingOrder="1"/>
    </xf>
    <xf numFmtId="165" fontId="6" fillId="3" borderId="2" xfId="0" applyNumberFormat="1" applyFont="1" applyFill="1" applyBorder="1" applyAlignment="1">
      <alignment horizontal="center" vertical="center"/>
    </xf>
    <xf numFmtId="0" fontId="0" fillId="3" borderId="0" xfId="0" applyFill="1" applyAlignment="1"/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activeCell="E27" sqref="E27"/>
    </sheetView>
  </sheetViews>
  <sheetFormatPr defaultColWidth="10.875" defaultRowHeight="14.25" x14ac:dyDescent="0.2"/>
  <cols>
    <col min="1" max="1" width="3.5" bestFit="1" customWidth="1"/>
    <col min="2" max="2" width="36.25" bestFit="1" customWidth="1"/>
    <col min="3" max="3" width="20.625" bestFit="1" customWidth="1"/>
    <col min="4" max="4" width="19.75" bestFit="1" customWidth="1"/>
    <col min="5" max="5" width="9.875" bestFit="1" customWidth="1"/>
    <col min="6" max="6" width="11.375" bestFit="1" customWidth="1"/>
    <col min="7" max="7" width="9.375" bestFit="1" customWidth="1"/>
    <col min="8" max="8" width="12.125" bestFit="1" customWidth="1"/>
    <col min="9" max="9" width="11.625" bestFit="1" customWidth="1"/>
    <col min="10" max="10" width="5" bestFit="1" customWidth="1"/>
    <col min="11" max="11" width="9.625" bestFit="1" customWidth="1"/>
    <col min="12" max="12" width="22.125" bestFit="1" customWidth="1"/>
  </cols>
  <sheetData>
    <row r="1" spans="1:12" ht="15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9" t="s">
        <v>37</v>
      </c>
    </row>
    <row r="2" spans="1:12" x14ac:dyDescent="0.2">
      <c r="A2" s="10">
        <v>53</v>
      </c>
      <c r="B2" s="11" t="s">
        <v>21</v>
      </c>
      <c r="C2" s="11" t="s">
        <v>38</v>
      </c>
      <c r="D2" s="11" t="s">
        <v>20</v>
      </c>
      <c r="E2" s="12">
        <v>14950</v>
      </c>
      <c r="F2" s="13">
        <v>45839</v>
      </c>
      <c r="G2" s="14">
        <f t="shared" ref="G2:G17" ca="1" si="0">F2-K2</f>
        <v>4.525703125000291</v>
      </c>
      <c r="H2" s="15">
        <f t="shared" ref="H2:H17" si="1">F2-60</f>
        <v>45779</v>
      </c>
      <c r="I2" s="16" t="s">
        <v>39</v>
      </c>
      <c r="J2" s="17" t="s">
        <v>12</v>
      </c>
      <c r="K2" s="18">
        <f t="shared" ref="K2:K17" ca="1" si="2">NOW()</f>
        <v>45834.474296875</v>
      </c>
      <c r="L2" s="20" t="s">
        <v>70</v>
      </c>
    </row>
    <row r="3" spans="1:12" ht="15" x14ac:dyDescent="0.2">
      <c r="A3" s="10">
        <v>147</v>
      </c>
      <c r="B3" s="11" t="s">
        <v>40</v>
      </c>
      <c r="C3" s="11" t="s">
        <v>41</v>
      </c>
      <c r="D3" s="11" t="s">
        <v>23</v>
      </c>
      <c r="E3" s="12">
        <v>80000</v>
      </c>
      <c r="F3" s="13">
        <v>45839</v>
      </c>
      <c r="G3" s="14">
        <f t="shared" ca="1" si="0"/>
        <v>4.525703125000291</v>
      </c>
      <c r="H3" s="15">
        <f t="shared" si="1"/>
        <v>45779</v>
      </c>
      <c r="I3" s="16">
        <v>432418</v>
      </c>
      <c r="J3" s="17" t="s">
        <v>12</v>
      </c>
      <c r="K3" s="18">
        <f t="shared" ca="1" si="2"/>
        <v>45834.474296875</v>
      </c>
      <c r="L3" s="21" t="s">
        <v>70</v>
      </c>
    </row>
    <row r="4" spans="1:12" x14ac:dyDescent="0.2">
      <c r="A4" s="10">
        <v>49</v>
      </c>
      <c r="B4" s="11" t="s">
        <v>42</v>
      </c>
      <c r="C4" s="11" t="s">
        <v>43</v>
      </c>
      <c r="D4" s="11" t="s">
        <v>14</v>
      </c>
      <c r="E4" s="12">
        <v>32200</v>
      </c>
      <c r="F4" s="13">
        <v>45844</v>
      </c>
      <c r="G4" s="14">
        <f t="shared" ca="1" si="0"/>
        <v>9.525703125000291</v>
      </c>
      <c r="H4" s="15">
        <f t="shared" si="1"/>
        <v>45784</v>
      </c>
      <c r="I4" s="16" t="s">
        <v>44</v>
      </c>
      <c r="J4" s="17" t="s">
        <v>12</v>
      </c>
      <c r="K4" s="18">
        <f t="shared" ca="1" si="2"/>
        <v>45834.474296875</v>
      </c>
      <c r="L4" s="20" t="s">
        <v>70</v>
      </c>
    </row>
    <row r="5" spans="1:12" x14ac:dyDescent="0.2">
      <c r="A5" s="22">
        <v>26</v>
      </c>
      <c r="B5" s="23" t="s">
        <v>24</v>
      </c>
      <c r="C5" s="23" t="s">
        <v>25</v>
      </c>
      <c r="D5" s="23" t="s">
        <v>26</v>
      </c>
      <c r="E5" s="24">
        <v>66427</v>
      </c>
      <c r="F5" s="25">
        <v>45845</v>
      </c>
      <c r="G5" s="26">
        <f t="shared" ca="1" si="0"/>
        <v>10.525703125000291</v>
      </c>
      <c r="H5" s="27">
        <f t="shared" si="1"/>
        <v>45785</v>
      </c>
      <c r="I5" s="28" t="s">
        <v>27</v>
      </c>
      <c r="J5" s="29" t="s">
        <v>12</v>
      </c>
      <c r="K5" s="30">
        <f t="shared" ca="1" si="2"/>
        <v>45834.474296875</v>
      </c>
      <c r="L5" s="31" t="s">
        <v>71</v>
      </c>
    </row>
    <row r="6" spans="1:12" x14ac:dyDescent="0.2">
      <c r="A6" s="10">
        <v>28</v>
      </c>
      <c r="B6" s="11" t="s">
        <v>28</v>
      </c>
      <c r="C6" s="11" t="s">
        <v>29</v>
      </c>
      <c r="D6" s="11" t="s">
        <v>19</v>
      </c>
      <c r="E6" s="12">
        <v>54650</v>
      </c>
      <c r="F6" s="13">
        <v>45851</v>
      </c>
      <c r="G6" s="14">
        <f t="shared" ca="1" si="0"/>
        <v>16.525703125000291</v>
      </c>
      <c r="H6" s="15">
        <f t="shared" si="1"/>
        <v>45791</v>
      </c>
      <c r="I6" s="16" t="s">
        <v>30</v>
      </c>
      <c r="J6" s="17" t="s">
        <v>12</v>
      </c>
      <c r="K6" s="18">
        <f t="shared" ca="1" si="2"/>
        <v>45834.474296875</v>
      </c>
      <c r="L6" s="20" t="s">
        <v>70</v>
      </c>
    </row>
    <row r="7" spans="1:12" x14ac:dyDescent="0.2">
      <c r="A7" s="10">
        <v>35</v>
      </c>
      <c r="B7" s="11" t="s">
        <v>31</v>
      </c>
      <c r="C7" s="11" t="s">
        <v>32</v>
      </c>
      <c r="D7" s="11" t="s">
        <v>11</v>
      </c>
      <c r="E7" s="12">
        <v>550090</v>
      </c>
      <c r="F7" s="13">
        <v>45853</v>
      </c>
      <c r="G7" s="14">
        <f t="shared" ca="1" si="0"/>
        <v>18.525703125000291</v>
      </c>
      <c r="H7" s="15">
        <f t="shared" si="1"/>
        <v>45793</v>
      </c>
      <c r="I7" s="16" t="s">
        <v>33</v>
      </c>
      <c r="J7" s="17" t="s">
        <v>12</v>
      </c>
      <c r="K7" s="18">
        <f t="shared" ca="1" si="2"/>
        <v>45834.474296875</v>
      </c>
      <c r="L7" s="20" t="s">
        <v>70</v>
      </c>
    </row>
    <row r="8" spans="1:12" x14ac:dyDescent="0.2">
      <c r="A8" s="10">
        <v>45</v>
      </c>
      <c r="B8" s="11" t="s">
        <v>45</v>
      </c>
      <c r="C8" s="11" t="s">
        <v>46</v>
      </c>
      <c r="D8" s="11" t="s">
        <v>16</v>
      </c>
      <c r="E8" s="12">
        <v>44677.5</v>
      </c>
      <c r="F8" s="13">
        <v>45857</v>
      </c>
      <c r="G8" s="14">
        <f t="shared" ca="1" si="0"/>
        <v>22.525703125000291</v>
      </c>
      <c r="H8" s="15">
        <f t="shared" si="1"/>
        <v>45797</v>
      </c>
      <c r="I8" s="16" t="s">
        <v>47</v>
      </c>
      <c r="J8" s="17" t="s">
        <v>12</v>
      </c>
      <c r="K8" s="18">
        <f t="shared" ca="1" si="2"/>
        <v>45834.474296875</v>
      </c>
      <c r="L8" s="20" t="s">
        <v>70</v>
      </c>
    </row>
    <row r="9" spans="1:12" x14ac:dyDescent="0.2">
      <c r="A9" s="10">
        <v>27</v>
      </c>
      <c r="B9" s="11" t="s">
        <v>34</v>
      </c>
      <c r="C9" s="11" t="s">
        <v>35</v>
      </c>
      <c r="D9" s="11" t="s">
        <v>19</v>
      </c>
      <c r="E9" s="12">
        <v>7134</v>
      </c>
      <c r="F9" s="13">
        <v>45859</v>
      </c>
      <c r="G9" s="14">
        <f t="shared" ca="1" si="0"/>
        <v>24.525703125000291</v>
      </c>
      <c r="H9" s="15">
        <f t="shared" si="1"/>
        <v>45799</v>
      </c>
      <c r="I9" s="16" t="s">
        <v>36</v>
      </c>
      <c r="J9" s="17" t="s">
        <v>12</v>
      </c>
      <c r="K9" s="18">
        <f t="shared" ca="1" si="2"/>
        <v>45834.474296875</v>
      </c>
      <c r="L9" s="20" t="s">
        <v>70</v>
      </c>
    </row>
    <row r="10" spans="1:12" x14ac:dyDescent="0.2">
      <c r="A10" s="10">
        <v>152</v>
      </c>
      <c r="B10" s="11" t="s">
        <v>48</v>
      </c>
      <c r="C10" s="11" t="s">
        <v>49</v>
      </c>
      <c r="D10" s="11" t="s">
        <v>18</v>
      </c>
      <c r="E10" s="12">
        <v>1800000</v>
      </c>
      <c r="F10" s="13">
        <v>45863</v>
      </c>
      <c r="G10" s="14">
        <f t="shared" ca="1" si="0"/>
        <v>28.525703125000291</v>
      </c>
      <c r="H10" s="15">
        <f t="shared" si="1"/>
        <v>45803</v>
      </c>
      <c r="I10" s="16" t="s">
        <v>50</v>
      </c>
      <c r="J10" s="17" t="s">
        <v>12</v>
      </c>
      <c r="K10" s="18">
        <f t="shared" ca="1" si="2"/>
        <v>45834.474296875</v>
      </c>
      <c r="L10" s="20" t="s">
        <v>70</v>
      </c>
    </row>
    <row r="11" spans="1:12" x14ac:dyDescent="0.2">
      <c r="A11" s="10">
        <v>23</v>
      </c>
      <c r="B11" s="11" t="s">
        <v>51</v>
      </c>
      <c r="C11" s="11" t="s">
        <v>52</v>
      </c>
      <c r="D11" s="11" t="s">
        <v>19</v>
      </c>
      <c r="E11" s="12">
        <v>253575</v>
      </c>
      <c r="F11" s="13">
        <v>45869</v>
      </c>
      <c r="G11" s="14">
        <f t="shared" ca="1" si="0"/>
        <v>34.525703125000291</v>
      </c>
      <c r="H11" s="15">
        <f t="shared" si="1"/>
        <v>45809</v>
      </c>
      <c r="I11" s="16" t="s">
        <v>53</v>
      </c>
      <c r="J11" s="17" t="s">
        <v>12</v>
      </c>
      <c r="K11" s="18">
        <f t="shared" ca="1" si="2"/>
        <v>45834.474296875</v>
      </c>
      <c r="L11" s="20" t="s">
        <v>70</v>
      </c>
    </row>
    <row r="12" spans="1:12" x14ac:dyDescent="0.2">
      <c r="A12" s="10">
        <v>60</v>
      </c>
      <c r="B12" s="11" t="s">
        <v>54</v>
      </c>
      <c r="C12" s="11" t="s">
        <v>55</v>
      </c>
      <c r="D12" s="11" t="s">
        <v>17</v>
      </c>
      <c r="E12" s="12">
        <v>65927</v>
      </c>
      <c r="F12" s="13">
        <v>45869</v>
      </c>
      <c r="G12" s="14">
        <f t="shared" ca="1" si="0"/>
        <v>34.525703125000291</v>
      </c>
      <c r="H12" s="15">
        <f t="shared" si="1"/>
        <v>45809</v>
      </c>
      <c r="I12" s="16">
        <v>432613</v>
      </c>
      <c r="J12" s="17" t="s">
        <v>12</v>
      </c>
      <c r="K12" s="18">
        <f t="shared" ca="1" si="2"/>
        <v>45834.474296875</v>
      </c>
      <c r="L12" s="20" t="s">
        <v>70</v>
      </c>
    </row>
    <row r="13" spans="1:12" ht="15" x14ac:dyDescent="0.2">
      <c r="A13" s="10">
        <v>74</v>
      </c>
      <c r="B13" s="11" t="s">
        <v>56</v>
      </c>
      <c r="C13" s="11" t="s">
        <v>57</v>
      </c>
      <c r="D13" s="11" t="s">
        <v>18</v>
      </c>
      <c r="E13" s="12">
        <v>75000</v>
      </c>
      <c r="F13" s="13">
        <v>45869</v>
      </c>
      <c r="G13" s="14">
        <f t="shared" ca="1" si="0"/>
        <v>34.525703125000291</v>
      </c>
      <c r="H13" s="15">
        <f t="shared" si="1"/>
        <v>45809</v>
      </c>
      <c r="I13" s="16" t="s">
        <v>58</v>
      </c>
      <c r="J13" s="17" t="s">
        <v>12</v>
      </c>
      <c r="K13" s="18">
        <f t="shared" ca="1" si="2"/>
        <v>45834.474296875</v>
      </c>
      <c r="L13" s="21" t="s">
        <v>70</v>
      </c>
    </row>
    <row r="14" spans="1:12" x14ac:dyDescent="0.2">
      <c r="A14" s="10">
        <v>98</v>
      </c>
      <c r="B14" s="11" t="s">
        <v>59</v>
      </c>
      <c r="C14" s="11" t="s">
        <v>60</v>
      </c>
      <c r="D14" s="11" t="s">
        <v>15</v>
      </c>
      <c r="E14" s="12">
        <v>747350</v>
      </c>
      <c r="F14" s="13">
        <v>45869</v>
      </c>
      <c r="G14" s="14">
        <f t="shared" ca="1" si="0"/>
        <v>34.525703125000291</v>
      </c>
      <c r="H14" s="15">
        <f t="shared" si="1"/>
        <v>45809</v>
      </c>
      <c r="I14" s="16" t="s">
        <v>61</v>
      </c>
      <c r="J14" s="17" t="s">
        <v>12</v>
      </c>
      <c r="K14" s="18">
        <f t="shared" ca="1" si="2"/>
        <v>45834.474296875</v>
      </c>
      <c r="L14" s="20" t="s">
        <v>70</v>
      </c>
    </row>
    <row r="15" spans="1:12" x14ac:dyDescent="0.2">
      <c r="A15" s="10">
        <v>113</v>
      </c>
      <c r="B15" s="11" t="s">
        <v>62</v>
      </c>
      <c r="C15" s="11" t="s">
        <v>63</v>
      </c>
      <c r="D15" s="11" t="s">
        <v>13</v>
      </c>
      <c r="E15" s="12">
        <v>39992</v>
      </c>
      <c r="F15" s="13">
        <v>45873</v>
      </c>
      <c r="G15" s="14">
        <f t="shared" ca="1" si="0"/>
        <v>38.525703125000291</v>
      </c>
      <c r="H15" s="15">
        <f t="shared" si="1"/>
        <v>45813</v>
      </c>
      <c r="I15" s="16" t="s">
        <v>64</v>
      </c>
      <c r="J15" s="17" t="s">
        <v>12</v>
      </c>
      <c r="K15" s="18">
        <f t="shared" ca="1" si="2"/>
        <v>45834.474296875</v>
      </c>
      <c r="L15" s="20" t="s">
        <v>70</v>
      </c>
    </row>
    <row r="16" spans="1:12" x14ac:dyDescent="0.2">
      <c r="A16" s="22">
        <v>66</v>
      </c>
      <c r="B16" s="23" t="s">
        <v>65</v>
      </c>
      <c r="C16" s="23" t="s">
        <v>66</v>
      </c>
      <c r="D16" s="23" t="s">
        <v>15</v>
      </c>
      <c r="E16" s="24">
        <v>800000</v>
      </c>
      <c r="F16" s="25">
        <v>45876</v>
      </c>
      <c r="G16" s="26">
        <f t="shared" ca="1" si="0"/>
        <v>41.525703125000291</v>
      </c>
      <c r="H16" s="27">
        <f t="shared" si="1"/>
        <v>45816</v>
      </c>
      <c r="I16" s="28" t="s">
        <v>67</v>
      </c>
      <c r="J16" s="29" t="s">
        <v>12</v>
      </c>
      <c r="K16" s="30">
        <f t="shared" ca="1" si="2"/>
        <v>45834.474296875</v>
      </c>
      <c r="L16" s="31" t="s">
        <v>71</v>
      </c>
    </row>
    <row r="17" spans="1:12" x14ac:dyDescent="0.2">
      <c r="A17" s="10">
        <v>131</v>
      </c>
      <c r="B17" s="11" t="s">
        <v>68</v>
      </c>
      <c r="C17" s="11" t="s">
        <v>69</v>
      </c>
      <c r="D17" s="11" t="s">
        <v>22</v>
      </c>
      <c r="E17" s="12">
        <v>75346</v>
      </c>
      <c r="F17" s="13">
        <v>45878</v>
      </c>
      <c r="G17" s="14">
        <f t="shared" ca="1" si="0"/>
        <v>43.525703125000291</v>
      </c>
      <c r="H17" s="15">
        <f t="shared" si="1"/>
        <v>45818</v>
      </c>
      <c r="I17" s="16">
        <v>437882</v>
      </c>
      <c r="J17" s="17" t="s">
        <v>12</v>
      </c>
      <c r="K17" s="18">
        <f t="shared" ca="1" si="2"/>
        <v>45834.474296875</v>
      </c>
      <c r="L17" s="20" t="s">
        <v>70</v>
      </c>
    </row>
  </sheetData>
  <conditionalFormatting sqref="C1">
    <cfRule type="duplicateValues" dxfId="1" priority="3"/>
  </conditionalFormatting>
  <conditionalFormatting sqref="C2:C4 C6:C17">
    <cfRule type="duplicateValues" dxfId="0" priority="1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7549A70E79814BB9CDD395F34505D2" ma:contentTypeVersion="15" ma:contentTypeDescription="Create a new document." ma:contentTypeScope="" ma:versionID="a5d8606eb9224c55e58613cee84171a6">
  <xsd:schema xmlns:xsd="http://www.w3.org/2001/XMLSchema" xmlns:xs="http://www.w3.org/2001/XMLSchema" xmlns:p="http://schemas.microsoft.com/office/2006/metadata/properties" xmlns:ns3="04effa5f-b871-4895-a95c-12b8d4119a94" xmlns:ns4="116c44f1-5dd1-4dba-9b67-7d817de06e51" targetNamespace="http://schemas.microsoft.com/office/2006/metadata/properties" ma:root="true" ma:fieldsID="9d764a519d3adf17223f3c27fe3c6d99" ns3:_="" ns4:_="">
    <xsd:import namespace="04effa5f-b871-4895-a95c-12b8d4119a94"/>
    <xsd:import namespace="116c44f1-5dd1-4dba-9b67-7d817de06e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ffa5f-b871-4895-a95c-12b8d4119a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c44f1-5dd1-4dba-9b67-7d817de06e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effa5f-b871-4895-a95c-12b8d4119a94" xsi:nil="true"/>
  </documentManagement>
</p:properties>
</file>

<file path=customXml/itemProps1.xml><?xml version="1.0" encoding="utf-8"?>
<ds:datastoreItem xmlns:ds="http://schemas.openxmlformats.org/officeDocument/2006/customXml" ds:itemID="{9595B7A0-3991-489C-994A-838E15CF94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effa5f-b871-4895-a95c-12b8d4119a94"/>
    <ds:schemaRef ds:uri="116c44f1-5dd1-4dba-9b67-7d817de06e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D2FF45-4195-4BE9-A789-326AA1E4E6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26A3B2-5CD3-431D-93D0-80F17EA207F2}">
  <ds:schemaRefs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04effa5f-b871-4895-a95c-12b8d4119a94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6c44f1-5dd1-4dba-9b67-7d817de06e51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SEJINI, SALLY HUSSEIN</dc:creator>
  <cp:lastModifiedBy>AlZahrani, Bakheet Ahmed</cp:lastModifiedBy>
  <dcterms:created xsi:type="dcterms:W3CDTF">2024-05-15T09:54:07Z</dcterms:created>
  <dcterms:modified xsi:type="dcterms:W3CDTF">2025-06-26T08:23:42Z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0x0101008D7549A70E79814BB9CDD395F34505D2</vt:lpwstr>
  </property>
</Properties>
</file>