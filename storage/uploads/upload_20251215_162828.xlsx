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F77404\Desktop\contracts\BG\"/>
    </mc:Choice>
  </mc:AlternateContent>
  <xr:revisionPtr revIDLastSave="0" documentId="13_ncr:1_{62284206-304C-4981-B9B9-795F3EC5F7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8" i="1" l="1"/>
  <c r="G28" i="1" s="1"/>
  <c r="H28" i="1"/>
  <c r="L27" i="1"/>
  <c r="G27" i="1" s="1"/>
  <c r="H27" i="1"/>
  <c r="L26" i="1"/>
  <c r="G26" i="1" s="1"/>
  <c r="H26" i="1"/>
  <c r="L25" i="1"/>
  <c r="G25" i="1" s="1"/>
  <c r="H25" i="1"/>
  <c r="L24" i="1"/>
  <c r="G24" i="1" s="1"/>
  <c r="H24" i="1"/>
  <c r="L23" i="1"/>
  <c r="G23" i="1" s="1"/>
  <c r="H23" i="1"/>
  <c r="L22" i="1"/>
  <c r="G22" i="1" s="1"/>
  <c r="H22" i="1"/>
  <c r="L21" i="1"/>
  <c r="G21" i="1" s="1"/>
  <c r="H21" i="1"/>
  <c r="L20" i="1"/>
  <c r="G20" i="1" s="1"/>
  <c r="H20" i="1"/>
  <c r="L19" i="1"/>
  <c r="G19" i="1" s="1"/>
  <c r="H19" i="1"/>
  <c r="L18" i="1"/>
  <c r="G18" i="1" s="1"/>
  <c r="H18" i="1"/>
  <c r="L17" i="1"/>
  <c r="G17" i="1" s="1"/>
  <c r="H17" i="1"/>
  <c r="L16" i="1"/>
  <c r="G16" i="1" s="1"/>
  <c r="H16" i="1"/>
  <c r="L15" i="1"/>
  <c r="G15" i="1" s="1"/>
  <c r="H15" i="1"/>
  <c r="L14" i="1"/>
  <c r="G14" i="1" s="1"/>
  <c r="H14" i="1"/>
  <c r="L13" i="1"/>
  <c r="G13" i="1" s="1"/>
  <c r="H13" i="1"/>
  <c r="L12" i="1"/>
  <c r="G12" i="1" s="1"/>
  <c r="H12" i="1"/>
  <c r="L11" i="1"/>
  <c r="G11" i="1" s="1"/>
  <c r="H11" i="1"/>
  <c r="L10" i="1"/>
  <c r="G10" i="1" s="1"/>
  <c r="H10" i="1"/>
  <c r="L9" i="1"/>
  <c r="G9" i="1" s="1"/>
  <c r="H9" i="1"/>
  <c r="L8" i="1"/>
  <c r="G8" i="1" s="1"/>
  <c r="H8" i="1"/>
  <c r="L7" i="1"/>
  <c r="G7" i="1" s="1"/>
  <c r="H7" i="1"/>
  <c r="L6" i="1"/>
  <c r="G6" i="1" s="1"/>
  <c r="H6" i="1"/>
  <c r="L5" i="1"/>
  <c r="G5" i="1" s="1"/>
  <c r="H5" i="1"/>
  <c r="L4" i="1"/>
  <c r="G4" i="1" s="1"/>
  <c r="H4" i="1"/>
  <c r="L3" i="1"/>
  <c r="G3" i="1" s="1"/>
  <c r="H3" i="1"/>
  <c r="L2" i="1"/>
  <c r="G2" i="1" s="1"/>
  <c r="H2" i="1"/>
</calcChain>
</file>

<file path=xl/sharedStrings.xml><?xml version="1.0" encoding="utf-8"?>
<sst xmlns="http://schemas.openxmlformats.org/spreadsheetml/2006/main" count="197" uniqueCount="112">
  <si>
    <t>S/N</t>
  </si>
  <si>
    <t>CONTRACTOR NAME</t>
  </si>
  <si>
    <t>BANK GUARANTEE NUMBER</t>
  </si>
  <si>
    <t>BANK NAME</t>
  </si>
  <si>
    <t>AMOUNT</t>
  </si>
  <si>
    <t>VALIDITY DATE</t>
  </si>
  <si>
    <t>DAYS VALID</t>
  </si>
  <si>
    <t>RENEWAL DATE</t>
  </si>
  <si>
    <t>CONTRACT NO.</t>
  </si>
  <si>
    <t>Type</t>
  </si>
  <si>
    <t>Today</t>
  </si>
  <si>
    <t>FINAL</t>
  </si>
  <si>
    <t>RIYAD BANK</t>
  </si>
  <si>
    <t>ALINMA BANK</t>
  </si>
  <si>
    <t>BANQUE SAUDI FRANSI</t>
  </si>
  <si>
    <t>ANB</t>
  </si>
  <si>
    <t>SAB</t>
  </si>
  <si>
    <t>ADVANCED</t>
  </si>
  <si>
    <t>فاطمة</t>
  </si>
  <si>
    <t>سالي</t>
  </si>
  <si>
    <t>عبد الكريم</t>
  </si>
  <si>
    <t>نورة</t>
  </si>
  <si>
    <t>العنود</t>
  </si>
  <si>
    <t>ALRAJHI BANK</t>
  </si>
  <si>
    <t>GULF MEDICAL CO. LTD.</t>
  </si>
  <si>
    <t>SNB</t>
  </si>
  <si>
    <t>JAMAL JAROUDI</t>
  </si>
  <si>
    <t>C221928</t>
  </si>
  <si>
    <t>C/0053/23</t>
  </si>
  <si>
    <t>Comment</t>
  </si>
  <si>
    <t xml:space="preserve">Owner </t>
  </si>
  <si>
    <t xml:space="preserve">شركة الأشغال المحدودة </t>
  </si>
  <si>
    <t>22OGTE48803441</t>
  </si>
  <si>
    <t>C/0063/22</t>
  </si>
  <si>
    <t>ANJUM CONTRACTING EST.</t>
  </si>
  <si>
    <t>23OGTE48802136</t>
  </si>
  <si>
    <t>C/0084/23</t>
  </si>
  <si>
    <t>ALRASHID TECHNOLOGY AND POWER COMPANY</t>
  </si>
  <si>
    <t>OG/CC044793</t>
  </si>
  <si>
    <t>C/0137/22</t>
  </si>
  <si>
    <t>شركة عطيه للمعدات الطبيه</t>
  </si>
  <si>
    <t>شركة رزيق عبدالله سعيد الجدراوي الثبيتي وشركاؤه</t>
  </si>
  <si>
    <t>SAMBA</t>
  </si>
  <si>
    <t>C/0025/43</t>
  </si>
  <si>
    <t>SAUDICO ELECTRONIC SYSTEMS.</t>
  </si>
  <si>
    <t>R125071</t>
  </si>
  <si>
    <t>C/0094/22</t>
  </si>
  <si>
    <t>JLG6504066</t>
  </si>
  <si>
    <t>C/0062/43</t>
  </si>
  <si>
    <t>شركة عبدالرحمن القصيبي للتجارة العامة</t>
  </si>
  <si>
    <t>C225632</t>
  </si>
  <si>
    <t>C/M0022/23</t>
  </si>
  <si>
    <t>شركة سيكلي السعوديه</t>
  </si>
  <si>
    <t>MD2122999002</t>
  </si>
  <si>
    <t>ALBILAD BANK</t>
  </si>
  <si>
    <t>C/0110/42</t>
  </si>
  <si>
    <t>SCHINDLER OLAYAN ELEVATOR CO. LTD.</t>
  </si>
  <si>
    <t>OG/IC059929</t>
  </si>
  <si>
    <t>MULTI-LANGUAGES CERTIFIED TRANSLATION</t>
  </si>
  <si>
    <t>RLG6625305</t>
  </si>
  <si>
    <t>C/0078/22</t>
  </si>
  <si>
    <t>ATTIEH MEDICO LTD</t>
  </si>
  <si>
    <t>JLG6901171</t>
  </si>
  <si>
    <t>شركة دار المعدات الطبية والعلمية</t>
  </si>
  <si>
    <t>PEBGCU396559</t>
  </si>
  <si>
    <t>SABB</t>
  </si>
  <si>
    <t>C/0023/43</t>
  </si>
  <si>
    <t xml:space="preserve">Equipment and technecal services </t>
  </si>
  <si>
    <t>RLG6450807</t>
  </si>
  <si>
    <t>C/0060/40</t>
  </si>
  <si>
    <t>RANEEN MEDICAL EST.</t>
  </si>
  <si>
    <t>MD2408700006</t>
  </si>
  <si>
    <t>C/0105/24</t>
  </si>
  <si>
    <t>JEEL FOR TRADE COMPANY</t>
  </si>
  <si>
    <t>085566J</t>
  </si>
  <si>
    <t>C/0046/41</t>
  </si>
  <si>
    <t>091459J</t>
  </si>
  <si>
    <t>C/0150/22</t>
  </si>
  <si>
    <t>ZIMMER BIOMET ASEL AL ARABIA LTD</t>
  </si>
  <si>
    <t>04762IGS2201800</t>
  </si>
  <si>
    <t>BNP PARIBAS</t>
  </si>
  <si>
    <t>C/0146/22</t>
  </si>
  <si>
    <t>BCG BOSTON CONSULTING GROUP</t>
  </si>
  <si>
    <t>04762IGS2501461</t>
  </si>
  <si>
    <t>WiConnect</t>
  </si>
  <si>
    <t>APNHTS000290</t>
  </si>
  <si>
    <t>شركة جنرال الكتريك العربيه للرعايه الصحيه المحدوده</t>
  </si>
  <si>
    <t>RLG6510812</t>
  </si>
  <si>
    <t>C/0040/43</t>
  </si>
  <si>
    <t xml:space="preserve">GENERAL ELECTRIC HEALTHCARE ARABIA </t>
  </si>
  <si>
    <t>RLG6626668</t>
  </si>
  <si>
    <t>C/M0015/22</t>
  </si>
  <si>
    <t>DUN TRADING CO.</t>
  </si>
  <si>
    <t>LG2335100027</t>
  </si>
  <si>
    <t>C/0298/23</t>
  </si>
  <si>
    <t>شركة الجيل الطبية التجاريه</t>
  </si>
  <si>
    <t>OGCC036167</t>
  </si>
  <si>
    <t>C/0031/43</t>
  </si>
  <si>
    <t>شركة حلول جداره لتقنية المعلومات</t>
  </si>
  <si>
    <t>121361R</t>
  </si>
  <si>
    <t>C/0061/43</t>
  </si>
  <si>
    <t>ZUHAIR FAYEZ PARTNERSHIP CONSULTANTS</t>
  </si>
  <si>
    <t>APNGCU440092</t>
  </si>
  <si>
    <t>C/0282/23</t>
  </si>
  <si>
    <t>Alsalem York</t>
  </si>
  <si>
    <t>B277741</t>
  </si>
  <si>
    <t>C/0034/42</t>
  </si>
  <si>
    <t>للتمديد</t>
  </si>
  <si>
    <t>للإفراج حسب الإي سي</t>
  </si>
  <si>
    <t>للإفراج حسب الإيميل</t>
  </si>
  <si>
    <t>للتمديد و تخفيض قيمة الضمان - لتصبح 76724</t>
  </si>
  <si>
    <t xml:space="preserve">للتمديد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</si>
</sst>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0;[Red]#,##0.00"/>
    <numFmt numFmtId="165" formatCode="[$-409]d\-mmm\-yyyy;@"/>
    <numFmt numFmtId="166" formatCode="0_);[Red]\(0\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9"/>
      <color theme="0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00B0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164" fontId="2" fillId="2" borderId="2" xfId="0" applyNumberFormat="1" applyFont="1" applyFill="1" applyBorder="1" applyAlignment="1">
      <alignment horizontal="center" vertical="center" wrapText="1" readingOrder="1"/>
    </xf>
    <xf numFmtId="165" fontId="2" fillId="2" borderId="2" xfId="0" applyNumberFormat="1" applyFont="1" applyFill="1" applyBorder="1" applyAlignment="1">
      <alignment horizontal="center" vertical="center" wrapText="1" readingOrder="1"/>
    </xf>
    <xf numFmtId="166" fontId="3" fillId="2" borderId="2" xfId="1" applyNumberFormat="1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165" fontId="3" fillId="2" borderId="2" xfId="0" applyNumberFormat="1" applyFont="1" applyFill="1" applyBorder="1" applyAlignment="1">
      <alignment horizontal="center" vertical="center" wrapText="1" readingOrder="1"/>
    </xf>
    <xf numFmtId="165" fontId="3" fillId="2" borderId="2" xfId="0" applyNumberFormat="1" applyFont="1" applyFill="1" applyBorder="1" applyAlignment="1">
      <alignment horizontal="center" vertical="center"/>
    </xf>
    <xf numFmtId="166" fontId="5" fillId="0" borderId="2" xfId="1" applyNumberFormat="1" applyFont="1" applyFill="1" applyBorder="1" applyAlignment="1">
      <alignment horizontal="center" vertical="center" wrapText="1" readingOrder="1"/>
    </xf>
    <xf numFmtId="0" fontId="0" fillId="0" borderId="0" xfId="0" applyFill="1"/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164" fontId="4" fillId="0" borderId="2" xfId="0" applyNumberFormat="1" applyFont="1" applyBorder="1" applyAlignment="1">
      <alignment horizontal="center" vertical="center" wrapText="1" readingOrder="1"/>
    </xf>
    <xf numFmtId="165" fontId="4" fillId="0" borderId="2" xfId="0" applyNumberFormat="1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165" fontId="5" fillId="0" borderId="2" xfId="0" applyNumberFormat="1" applyFont="1" applyBorder="1" applyAlignment="1">
      <alignment horizontal="center" vertical="center" wrapText="1" readingOrder="1"/>
    </xf>
    <xf numFmtId="1" fontId="4" fillId="0" borderId="2" xfId="0" applyNumberFormat="1" applyFont="1" applyBorder="1" applyAlignment="1">
      <alignment horizontal="center" vertical="center" wrapText="1" readingOrder="2"/>
    </xf>
    <xf numFmtId="165" fontId="6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 wrapText="1" readingOrder="2"/>
    </xf>
    <xf numFmtId="0" fontId="3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164" fontId="4" fillId="3" borderId="2" xfId="0" applyNumberFormat="1" applyFont="1" applyFill="1" applyBorder="1" applyAlignment="1">
      <alignment horizontal="center" vertical="center" wrapText="1" readingOrder="1"/>
    </xf>
    <xf numFmtId="165" fontId="4" fillId="3" borderId="2" xfId="0" applyNumberFormat="1" applyFont="1" applyFill="1" applyBorder="1" applyAlignment="1">
      <alignment horizontal="center" vertical="center" wrapText="1" readingOrder="1"/>
    </xf>
    <xf numFmtId="166" fontId="5" fillId="3" borderId="2" xfId="1" applyNumberFormat="1" applyFont="1" applyFill="1" applyBorder="1" applyAlignment="1">
      <alignment horizontal="center" vertical="center" wrapText="1" readingOrder="1"/>
    </xf>
    <xf numFmtId="0" fontId="5" fillId="3" borderId="2" xfId="0" applyFont="1" applyFill="1" applyBorder="1" applyAlignment="1">
      <alignment horizontal="center" vertical="center" wrapText="1" readingOrder="1"/>
    </xf>
    <xf numFmtId="165" fontId="5" fillId="3" borderId="2" xfId="0" applyNumberFormat="1" applyFont="1" applyFill="1" applyBorder="1" applyAlignment="1">
      <alignment horizontal="center" vertical="center" wrapText="1" readingOrder="1"/>
    </xf>
    <xf numFmtId="1" fontId="4" fillId="3" borderId="2" xfId="0" applyNumberFormat="1" applyFont="1" applyFill="1" applyBorder="1" applyAlignment="1">
      <alignment horizontal="center" vertical="center" wrapText="1" readingOrder="2"/>
    </xf>
    <xf numFmtId="165" fontId="6" fillId="3" borderId="2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 wrapText="1" readingOrder="2"/>
    </xf>
  </cellXfs>
  <cellStyles count="2">
    <cellStyle name="Comma" xfId="1" builtinId="3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workbookViewId="0">
      <selection activeCell="H18" sqref="H18"/>
    </sheetView>
  </sheetViews>
  <sheetFormatPr defaultColWidth="25.7109375" defaultRowHeight="15" x14ac:dyDescent="0.25"/>
  <cols>
    <col min="1" max="1" width="4" bestFit="1" customWidth="1"/>
    <col min="2" max="2" width="24.85546875" bestFit="1" customWidth="1"/>
    <col min="3" max="3" width="23.7109375" bestFit="1" customWidth="1"/>
    <col min="4" max="4" width="20.5703125" bestFit="1" customWidth="1"/>
    <col min="5" max="5" width="11.28515625" bestFit="1" customWidth="1"/>
    <col min="6" max="6" width="13.140625" bestFit="1" customWidth="1"/>
    <col min="7" max="7" width="9.5703125" bestFit="1" customWidth="1"/>
    <col min="8" max="8" width="14" bestFit="1" customWidth="1"/>
    <col min="9" max="9" width="11.85546875" bestFit="1" customWidth="1"/>
    <col min="10" max="10" width="9.140625" bestFit="1" customWidth="1"/>
    <col min="11" max="11" width="13.42578125" bestFit="1" customWidth="1"/>
    <col min="12" max="12" width="12.5703125" bestFit="1" customWidth="1"/>
    <col min="13" max="13" width="7" bestFit="1" customWidth="1"/>
  </cols>
  <sheetData>
    <row r="1" spans="1:13" ht="36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6" t="s">
        <v>8</v>
      </c>
      <c r="J1" s="7" t="s">
        <v>9</v>
      </c>
      <c r="K1" s="20" t="s">
        <v>29</v>
      </c>
      <c r="L1" s="8" t="s">
        <v>10</v>
      </c>
      <c r="M1" s="21" t="s">
        <v>30</v>
      </c>
    </row>
    <row r="2" spans="1:13" x14ac:dyDescent="0.25">
      <c r="A2" s="11">
        <v>110</v>
      </c>
      <c r="B2" s="12" t="s">
        <v>26</v>
      </c>
      <c r="C2" s="12" t="s">
        <v>27</v>
      </c>
      <c r="D2" s="12" t="s">
        <v>25</v>
      </c>
      <c r="E2" s="13">
        <v>20358.45</v>
      </c>
      <c r="F2" s="14">
        <v>45961</v>
      </c>
      <c r="G2" s="9">
        <f t="shared" ref="G2:G28" ca="1" si="0">F2-L2</f>
        <v>32.54664201389096</v>
      </c>
      <c r="H2" s="14">
        <f t="shared" ref="H2:H28" si="1">F2-60</f>
        <v>45901</v>
      </c>
      <c r="I2" s="15" t="s">
        <v>28</v>
      </c>
      <c r="J2" s="16" t="s">
        <v>11</v>
      </c>
      <c r="K2" s="17" t="s">
        <v>107</v>
      </c>
      <c r="L2" s="18">
        <f t="shared" ref="L2:L28" ca="1" si="2">NOW()</f>
        <v>45928.453357986109</v>
      </c>
      <c r="M2" s="19" t="s">
        <v>20</v>
      </c>
    </row>
    <row r="3" spans="1:13" x14ac:dyDescent="0.25">
      <c r="A3" s="11">
        <v>26</v>
      </c>
      <c r="B3" s="12" t="s">
        <v>31</v>
      </c>
      <c r="C3" s="12" t="s">
        <v>32</v>
      </c>
      <c r="D3" s="12" t="s">
        <v>23</v>
      </c>
      <c r="E3" s="13">
        <v>167629.12</v>
      </c>
      <c r="F3" s="14">
        <v>45962</v>
      </c>
      <c r="G3" s="9">
        <f t="shared" ca="1" si="0"/>
        <v>33.54664201389096</v>
      </c>
      <c r="H3" s="14">
        <f t="shared" si="1"/>
        <v>45902</v>
      </c>
      <c r="I3" s="15" t="s">
        <v>33</v>
      </c>
      <c r="J3" s="16" t="s">
        <v>11</v>
      </c>
      <c r="K3" s="17" t="s">
        <v>107</v>
      </c>
      <c r="L3" s="18">
        <f t="shared" ca="1" si="2"/>
        <v>45928.453357986109</v>
      </c>
      <c r="M3" s="19" t="s">
        <v>20</v>
      </c>
    </row>
    <row r="4" spans="1:13" x14ac:dyDescent="0.25">
      <c r="A4" s="11">
        <v>37</v>
      </c>
      <c r="B4" s="12" t="s">
        <v>34</v>
      </c>
      <c r="C4" s="12" t="s">
        <v>35</v>
      </c>
      <c r="D4" s="12" t="s">
        <v>23</v>
      </c>
      <c r="E4" s="13">
        <v>91000</v>
      </c>
      <c r="F4" s="14">
        <v>45962</v>
      </c>
      <c r="G4" s="9">
        <f t="shared" ca="1" si="0"/>
        <v>33.54664201389096</v>
      </c>
      <c r="H4" s="14">
        <f t="shared" si="1"/>
        <v>45902</v>
      </c>
      <c r="I4" s="15" t="s">
        <v>36</v>
      </c>
      <c r="J4" s="16" t="s">
        <v>11</v>
      </c>
      <c r="K4" s="17" t="s">
        <v>107</v>
      </c>
      <c r="L4" s="18">
        <f t="shared" ca="1" si="2"/>
        <v>45928.453357986109</v>
      </c>
      <c r="M4" s="19" t="s">
        <v>19</v>
      </c>
    </row>
    <row r="5" spans="1:13" ht="24" x14ac:dyDescent="0.25">
      <c r="A5" s="11">
        <v>71</v>
      </c>
      <c r="B5" s="12" t="s">
        <v>37</v>
      </c>
      <c r="C5" s="12" t="s">
        <v>38</v>
      </c>
      <c r="D5" s="12" t="s">
        <v>15</v>
      </c>
      <c r="E5" s="13">
        <v>350000</v>
      </c>
      <c r="F5" s="14">
        <v>45962</v>
      </c>
      <c r="G5" s="9">
        <f t="shared" ca="1" si="0"/>
        <v>33.54664201389096</v>
      </c>
      <c r="H5" s="14">
        <f t="shared" si="1"/>
        <v>45902</v>
      </c>
      <c r="I5" s="15" t="s">
        <v>39</v>
      </c>
      <c r="J5" s="16" t="s">
        <v>11</v>
      </c>
      <c r="K5" s="17" t="s">
        <v>107</v>
      </c>
      <c r="L5" s="18">
        <f t="shared" ca="1" si="2"/>
        <v>45928.453357986109</v>
      </c>
      <c r="M5" s="19" t="s">
        <v>19</v>
      </c>
    </row>
    <row r="6" spans="1:13" ht="24" x14ac:dyDescent="0.25">
      <c r="A6" s="11">
        <v>78</v>
      </c>
      <c r="B6" s="12" t="s">
        <v>41</v>
      </c>
      <c r="C6" s="12">
        <v>2078960330</v>
      </c>
      <c r="D6" s="12" t="s">
        <v>42</v>
      </c>
      <c r="E6" s="13">
        <v>17325</v>
      </c>
      <c r="F6" s="14">
        <v>45964</v>
      </c>
      <c r="G6" s="9">
        <f t="shared" ca="1" si="0"/>
        <v>35.54664201389096</v>
      </c>
      <c r="H6" s="14">
        <f t="shared" si="1"/>
        <v>45904</v>
      </c>
      <c r="I6" s="15" t="s">
        <v>43</v>
      </c>
      <c r="J6" s="16" t="s">
        <v>11</v>
      </c>
      <c r="K6" s="17" t="s">
        <v>107</v>
      </c>
      <c r="L6" s="18">
        <f t="shared" ca="1" si="2"/>
        <v>45928.453357986109</v>
      </c>
      <c r="M6" s="19" t="s">
        <v>21</v>
      </c>
    </row>
    <row r="7" spans="1:13" ht="24" x14ac:dyDescent="0.25">
      <c r="A7" s="22">
        <v>96</v>
      </c>
      <c r="B7" s="23" t="s">
        <v>44</v>
      </c>
      <c r="C7" s="23" t="s">
        <v>45</v>
      </c>
      <c r="D7" s="23" t="s">
        <v>14</v>
      </c>
      <c r="E7" s="24">
        <v>6401.05</v>
      </c>
      <c r="F7" s="25">
        <v>45965</v>
      </c>
      <c r="G7" s="26">
        <f t="shared" ca="1" si="0"/>
        <v>36.54664201389096</v>
      </c>
      <c r="H7" s="25">
        <f t="shared" si="1"/>
        <v>45905</v>
      </c>
      <c r="I7" s="27" t="s">
        <v>46</v>
      </c>
      <c r="J7" s="28" t="s">
        <v>11</v>
      </c>
      <c r="K7" s="29" t="s">
        <v>107</v>
      </c>
      <c r="L7" s="30">
        <f t="shared" ca="1" si="2"/>
        <v>45928.453357986109</v>
      </c>
      <c r="M7" s="31" t="s">
        <v>21</v>
      </c>
    </row>
    <row r="8" spans="1:13" x14ac:dyDescent="0.25">
      <c r="A8" s="11">
        <v>112</v>
      </c>
      <c r="B8" s="12" t="s">
        <v>40</v>
      </c>
      <c r="C8" s="12" t="s">
        <v>47</v>
      </c>
      <c r="D8" s="12" t="s">
        <v>12</v>
      </c>
      <c r="E8" s="13">
        <v>887872.45</v>
      </c>
      <c r="F8" s="14">
        <v>45968</v>
      </c>
      <c r="G8" s="9">
        <f t="shared" ca="1" si="0"/>
        <v>39.54664201389096</v>
      </c>
      <c r="H8" s="14">
        <f t="shared" si="1"/>
        <v>45908</v>
      </c>
      <c r="I8" s="15" t="s">
        <v>48</v>
      </c>
      <c r="J8" s="16" t="s">
        <v>11</v>
      </c>
      <c r="K8" s="17" t="s">
        <v>107</v>
      </c>
      <c r="L8" s="18">
        <f t="shared" ca="1" si="2"/>
        <v>45928.453357986109</v>
      </c>
      <c r="M8" s="19" t="s">
        <v>21</v>
      </c>
    </row>
    <row r="9" spans="1:13" x14ac:dyDescent="0.25">
      <c r="A9" s="11">
        <v>151</v>
      </c>
      <c r="B9" s="12" t="s">
        <v>49</v>
      </c>
      <c r="C9" s="12" t="s">
        <v>50</v>
      </c>
      <c r="D9" s="12" t="s">
        <v>25</v>
      </c>
      <c r="E9" s="13">
        <v>69500</v>
      </c>
      <c r="F9" s="14">
        <v>45974</v>
      </c>
      <c r="G9" s="9">
        <f t="shared" ca="1" si="0"/>
        <v>45.54664201389096</v>
      </c>
      <c r="H9" s="14">
        <f t="shared" si="1"/>
        <v>45914</v>
      </c>
      <c r="I9" s="15" t="s">
        <v>51</v>
      </c>
      <c r="J9" s="16" t="s">
        <v>11</v>
      </c>
      <c r="K9" s="17" t="s">
        <v>107</v>
      </c>
      <c r="L9" s="18">
        <f t="shared" ca="1" si="2"/>
        <v>45928.453357986109</v>
      </c>
      <c r="M9" s="19" t="s">
        <v>19</v>
      </c>
    </row>
    <row r="10" spans="1:13" ht="24" x14ac:dyDescent="0.25">
      <c r="A10" s="11">
        <v>18</v>
      </c>
      <c r="B10" s="12" t="s">
        <v>52</v>
      </c>
      <c r="C10" s="12" t="s">
        <v>53</v>
      </c>
      <c r="D10" s="12" t="s">
        <v>54</v>
      </c>
      <c r="E10" s="13">
        <v>747911</v>
      </c>
      <c r="F10" s="14">
        <v>45975</v>
      </c>
      <c r="G10" s="9">
        <f t="shared" ca="1" si="0"/>
        <v>46.54664201389096</v>
      </c>
      <c r="H10" s="14">
        <f t="shared" si="1"/>
        <v>45915</v>
      </c>
      <c r="I10" s="15" t="s">
        <v>55</v>
      </c>
      <c r="J10" s="16" t="s">
        <v>11</v>
      </c>
      <c r="K10" s="17" t="s">
        <v>108</v>
      </c>
      <c r="L10" s="18">
        <f t="shared" ca="1" si="2"/>
        <v>45928.453357986109</v>
      </c>
      <c r="M10" s="19" t="s">
        <v>18</v>
      </c>
    </row>
    <row r="11" spans="1:13" s="10" customFormat="1" ht="24" x14ac:dyDescent="0.25">
      <c r="A11" s="11">
        <v>121</v>
      </c>
      <c r="B11" s="12" t="s">
        <v>56</v>
      </c>
      <c r="C11" s="12" t="s">
        <v>57</v>
      </c>
      <c r="D11" s="12" t="s">
        <v>15</v>
      </c>
      <c r="E11" s="13">
        <v>36045.47</v>
      </c>
      <c r="F11" s="14">
        <v>45975</v>
      </c>
      <c r="G11" s="9">
        <f t="shared" ca="1" si="0"/>
        <v>46.54664201389096</v>
      </c>
      <c r="H11" s="14">
        <f t="shared" si="1"/>
        <v>45915</v>
      </c>
      <c r="I11" s="15">
        <v>434130</v>
      </c>
      <c r="J11" s="16" t="s">
        <v>11</v>
      </c>
      <c r="K11" s="17" t="s">
        <v>107</v>
      </c>
      <c r="L11" s="18">
        <f t="shared" ca="1" si="2"/>
        <v>45928.453357986109</v>
      </c>
      <c r="M11" s="19" t="s">
        <v>20</v>
      </c>
    </row>
    <row r="12" spans="1:13" ht="24" x14ac:dyDescent="0.25">
      <c r="A12" s="11">
        <v>126</v>
      </c>
      <c r="B12" s="12" t="s">
        <v>58</v>
      </c>
      <c r="C12" s="12" t="s">
        <v>59</v>
      </c>
      <c r="D12" s="12" t="s">
        <v>12</v>
      </c>
      <c r="E12" s="13">
        <v>59513</v>
      </c>
      <c r="F12" s="14">
        <v>45976</v>
      </c>
      <c r="G12" s="9">
        <f t="shared" ca="1" si="0"/>
        <v>47.54664201389096</v>
      </c>
      <c r="H12" s="14">
        <f t="shared" si="1"/>
        <v>45916</v>
      </c>
      <c r="I12" s="15" t="s">
        <v>60</v>
      </c>
      <c r="J12" s="16" t="s">
        <v>11</v>
      </c>
      <c r="K12" s="17" t="s">
        <v>107</v>
      </c>
      <c r="L12" s="18">
        <f t="shared" ca="1" si="2"/>
        <v>45928.453357986109</v>
      </c>
      <c r="M12" s="19" t="s">
        <v>18</v>
      </c>
    </row>
    <row r="13" spans="1:13" x14ac:dyDescent="0.25">
      <c r="A13" s="11">
        <v>218</v>
      </c>
      <c r="B13" s="12" t="s">
        <v>61</v>
      </c>
      <c r="C13" s="12" t="s">
        <v>62</v>
      </c>
      <c r="D13" s="12" t="s">
        <v>12</v>
      </c>
      <c r="E13" s="13">
        <v>39962.5</v>
      </c>
      <c r="F13" s="14">
        <v>45976</v>
      </c>
      <c r="G13" s="9">
        <f t="shared" ca="1" si="0"/>
        <v>47.54664201389096</v>
      </c>
      <c r="H13" s="14">
        <f t="shared" si="1"/>
        <v>45916</v>
      </c>
      <c r="I13" s="15">
        <v>6691</v>
      </c>
      <c r="J13" s="16" t="s">
        <v>11</v>
      </c>
      <c r="K13" s="17" t="s">
        <v>107</v>
      </c>
      <c r="L13" s="18">
        <f t="shared" ca="1" si="2"/>
        <v>45928.453357986109</v>
      </c>
      <c r="M13" s="19" t="s">
        <v>19</v>
      </c>
    </row>
    <row r="14" spans="1:13" x14ac:dyDescent="0.25">
      <c r="A14" s="11">
        <v>73</v>
      </c>
      <c r="B14" s="12" t="s">
        <v>63</v>
      </c>
      <c r="C14" s="12" t="s">
        <v>64</v>
      </c>
      <c r="D14" s="12" t="s">
        <v>65</v>
      </c>
      <c r="E14" s="13">
        <v>192252</v>
      </c>
      <c r="F14" s="14">
        <v>45978</v>
      </c>
      <c r="G14" s="9">
        <f t="shared" ca="1" si="0"/>
        <v>49.54664201389096</v>
      </c>
      <c r="H14" s="14">
        <f t="shared" si="1"/>
        <v>45918</v>
      </c>
      <c r="I14" s="15" t="s">
        <v>66</v>
      </c>
      <c r="J14" s="16" t="s">
        <v>11</v>
      </c>
      <c r="K14" s="17" t="s">
        <v>107</v>
      </c>
      <c r="L14" s="18">
        <f t="shared" ca="1" si="2"/>
        <v>45928.453357986109</v>
      </c>
      <c r="M14" s="19" t="s">
        <v>21</v>
      </c>
    </row>
    <row r="15" spans="1:13" ht="60" x14ac:dyDescent="0.25">
      <c r="A15" s="11">
        <v>28</v>
      </c>
      <c r="B15" s="12" t="s">
        <v>67</v>
      </c>
      <c r="C15" s="12" t="s">
        <v>68</v>
      </c>
      <c r="D15" s="12" t="s">
        <v>12</v>
      </c>
      <c r="E15" s="13">
        <v>457017</v>
      </c>
      <c r="F15" s="14">
        <v>45980</v>
      </c>
      <c r="G15" s="9">
        <f t="shared" ca="1" si="0"/>
        <v>51.54664201389096</v>
      </c>
      <c r="H15" s="14">
        <f t="shared" si="1"/>
        <v>45920</v>
      </c>
      <c r="I15" s="15" t="s">
        <v>69</v>
      </c>
      <c r="J15" s="16" t="s">
        <v>17</v>
      </c>
      <c r="K15" s="17" t="s">
        <v>110</v>
      </c>
      <c r="L15" s="18">
        <f t="shared" ca="1" si="2"/>
        <v>45928.453357986109</v>
      </c>
      <c r="M15" s="19" t="s">
        <v>19</v>
      </c>
    </row>
    <row r="16" spans="1:13" x14ac:dyDescent="0.25">
      <c r="A16" s="11">
        <v>57</v>
      </c>
      <c r="B16" s="12" t="s">
        <v>70</v>
      </c>
      <c r="C16" s="12" t="s">
        <v>71</v>
      </c>
      <c r="D16" s="12" t="s">
        <v>13</v>
      </c>
      <c r="E16" s="13">
        <v>30000</v>
      </c>
      <c r="F16" s="14">
        <v>45981</v>
      </c>
      <c r="G16" s="9">
        <f t="shared" ca="1" si="0"/>
        <v>52.54664201389096</v>
      </c>
      <c r="H16" s="14">
        <f t="shared" si="1"/>
        <v>45921</v>
      </c>
      <c r="I16" s="15" t="s">
        <v>72</v>
      </c>
      <c r="J16" s="16" t="s">
        <v>11</v>
      </c>
      <c r="K16" s="17" t="s">
        <v>111</v>
      </c>
      <c r="L16" s="18">
        <f t="shared" ca="1" si="2"/>
        <v>45928.453357986109</v>
      </c>
      <c r="M16" s="19" t="s">
        <v>19</v>
      </c>
    </row>
    <row r="17" spans="1:13" x14ac:dyDescent="0.25">
      <c r="A17" s="11">
        <v>53</v>
      </c>
      <c r="B17" s="12" t="s">
        <v>73</v>
      </c>
      <c r="C17" s="12" t="s">
        <v>74</v>
      </c>
      <c r="D17" s="12" t="s">
        <v>14</v>
      </c>
      <c r="E17" s="13">
        <v>718170</v>
      </c>
      <c r="F17" s="14">
        <v>45981</v>
      </c>
      <c r="G17" s="9">
        <f t="shared" ca="1" si="0"/>
        <v>52.54664201389096</v>
      </c>
      <c r="H17" s="14">
        <f t="shared" si="1"/>
        <v>45921</v>
      </c>
      <c r="I17" s="15" t="s">
        <v>75</v>
      </c>
      <c r="J17" s="16" t="s">
        <v>11</v>
      </c>
      <c r="K17" s="17" t="s">
        <v>107</v>
      </c>
      <c r="L17" s="18">
        <f t="shared" ca="1" si="2"/>
        <v>45928.453357986109</v>
      </c>
      <c r="M17" s="19" t="s">
        <v>19</v>
      </c>
    </row>
    <row r="18" spans="1:13" x14ac:dyDescent="0.25">
      <c r="A18" s="11">
        <v>102</v>
      </c>
      <c r="B18" s="12" t="s">
        <v>24</v>
      </c>
      <c r="C18" s="12" t="s">
        <v>76</v>
      </c>
      <c r="D18" s="12" t="s">
        <v>14</v>
      </c>
      <c r="E18" s="13">
        <v>147500</v>
      </c>
      <c r="F18" s="14">
        <v>45981</v>
      </c>
      <c r="G18" s="9">
        <f t="shared" ca="1" si="0"/>
        <v>52.54664201389096</v>
      </c>
      <c r="H18" s="14">
        <f t="shared" si="1"/>
        <v>45921</v>
      </c>
      <c r="I18" s="15" t="s">
        <v>77</v>
      </c>
      <c r="J18" s="16" t="s">
        <v>11</v>
      </c>
      <c r="K18" s="17" t="s">
        <v>107</v>
      </c>
      <c r="L18" s="18">
        <f t="shared" ca="1" si="2"/>
        <v>45928.453357986109</v>
      </c>
      <c r="M18" s="19" t="s">
        <v>19</v>
      </c>
    </row>
    <row r="19" spans="1:13" ht="24" x14ac:dyDescent="0.25">
      <c r="A19" s="11">
        <v>15</v>
      </c>
      <c r="B19" s="12" t="s">
        <v>78</v>
      </c>
      <c r="C19" s="12" t="s">
        <v>79</v>
      </c>
      <c r="D19" s="12" t="s">
        <v>80</v>
      </c>
      <c r="E19" s="13">
        <v>347650</v>
      </c>
      <c r="F19" s="14">
        <v>45982</v>
      </c>
      <c r="G19" s="9">
        <f t="shared" ca="1" si="0"/>
        <v>53.54664201389096</v>
      </c>
      <c r="H19" s="14">
        <f t="shared" si="1"/>
        <v>45922</v>
      </c>
      <c r="I19" s="15" t="s">
        <v>81</v>
      </c>
      <c r="J19" s="16" t="s">
        <v>11</v>
      </c>
      <c r="K19" s="17" t="s">
        <v>107</v>
      </c>
      <c r="L19" s="18">
        <f t="shared" ca="1" si="2"/>
        <v>45928.453357986109</v>
      </c>
      <c r="M19" s="19" t="s">
        <v>22</v>
      </c>
    </row>
    <row r="20" spans="1:13" ht="24" x14ac:dyDescent="0.25">
      <c r="A20" s="11">
        <v>32</v>
      </c>
      <c r="B20" s="12" t="s">
        <v>82</v>
      </c>
      <c r="C20" s="12" t="s">
        <v>83</v>
      </c>
      <c r="D20" s="12" t="s">
        <v>80</v>
      </c>
      <c r="E20" s="13">
        <v>404800</v>
      </c>
      <c r="F20" s="14">
        <v>45983</v>
      </c>
      <c r="G20" s="9">
        <f t="shared" ca="1" si="0"/>
        <v>54.54664201389096</v>
      </c>
      <c r="H20" s="14">
        <f t="shared" si="1"/>
        <v>45923</v>
      </c>
      <c r="I20" s="15">
        <v>441480</v>
      </c>
      <c r="J20" s="16" t="s">
        <v>11</v>
      </c>
      <c r="K20" s="32" t="s">
        <v>107</v>
      </c>
      <c r="L20" s="18">
        <f t="shared" ca="1" si="2"/>
        <v>45928.453357986109</v>
      </c>
      <c r="M20" s="19" t="s">
        <v>22</v>
      </c>
    </row>
    <row r="21" spans="1:13" x14ac:dyDescent="0.25">
      <c r="A21" s="11">
        <v>161</v>
      </c>
      <c r="B21" s="12" t="s">
        <v>84</v>
      </c>
      <c r="C21" s="12" t="s">
        <v>85</v>
      </c>
      <c r="D21" s="12" t="s">
        <v>16</v>
      </c>
      <c r="E21" s="13">
        <v>71248</v>
      </c>
      <c r="F21" s="14">
        <v>45984</v>
      </c>
      <c r="G21" s="9">
        <f t="shared" ca="1" si="0"/>
        <v>55.54664201389096</v>
      </c>
      <c r="H21" s="14">
        <f t="shared" si="1"/>
        <v>45924</v>
      </c>
      <c r="I21" s="15">
        <v>439615</v>
      </c>
      <c r="J21" s="16" t="s">
        <v>11</v>
      </c>
      <c r="K21" s="17" t="s">
        <v>107</v>
      </c>
      <c r="L21" s="18">
        <f t="shared" ca="1" si="2"/>
        <v>45928.453357986109</v>
      </c>
      <c r="M21" s="19" t="s">
        <v>19</v>
      </c>
    </row>
    <row r="22" spans="1:13" ht="24" x14ac:dyDescent="0.25">
      <c r="A22" s="11">
        <v>115</v>
      </c>
      <c r="B22" s="12" t="s">
        <v>86</v>
      </c>
      <c r="C22" s="12" t="s">
        <v>87</v>
      </c>
      <c r="D22" s="12" t="s">
        <v>12</v>
      </c>
      <c r="E22" s="13">
        <v>99301</v>
      </c>
      <c r="F22" s="14">
        <v>45986</v>
      </c>
      <c r="G22" s="9">
        <f t="shared" ca="1" si="0"/>
        <v>57.54664201389096</v>
      </c>
      <c r="H22" s="14">
        <f t="shared" si="1"/>
        <v>45926</v>
      </c>
      <c r="I22" s="15" t="s">
        <v>88</v>
      </c>
      <c r="J22" s="16" t="s">
        <v>11</v>
      </c>
      <c r="K22" s="17" t="s">
        <v>107</v>
      </c>
      <c r="L22" s="18">
        <f t="shared" ca="1" si="2"/>
        <v>45928.453357986109</v>
      </c>
      <c r="M22" s="19" t="s">
        <v>21</v>
      </c>
    </row>
    <row r="23" spans="1:13" ht="24" x14ac:dyDescent="0.25">
      <c r="A23" s="11">
        <v>133</v>
      </c>
      <c r="B23" s="12" t="s">
        <v>89</v>
      </c>
      <c r="C23" s="12" t="s">
        <v>90</v>
      </c>
      <c r="D23" s="12" t="s">
        <v>12</v>
      </c>
      <c r="E23" s="13">
        <v>99944</v>
      </c>
      <c r="F23" s="14">
        <v>45986</v>
      </c>
      <c r="G23" s="9">
        <f t="shared" ca="1" si="0"/>
        <v>57.54664201389096</v>
      </c>
      <c r="H23" s="14">
        <f t="shared" si="1"/>
        <v>45926</v>
      </c>
      <c r="I23" s="15" t="s">
        <v>91</v>
      </c>
      <c r="J23" s="16" t="s">
        <v>11</v>
      </c>
      <c r="K23" s="17" t="s">
        <v>107</v>
      </c>
      <c r="L23" s="18">
        <f t="shared" ca="1" si="2"/>
        <v>45928.453357986109</v>
      </c>
      <c r="M23" s="19" t="s">
        <v>22</v>
      </c>
    </row>
    <row r="24" spans="1:13" ht="24" x14ac:dyDescent="0.25">
      <c r="A24" s="11">
        <v>39</v>
      </c>
      <c r="B24" s="12" t="s">
        <v>92</v>
      </c>
      <c r="C24" s="12" t="s">
        <v>93</v>
      </c>
      <c r="D24" s="12" t="s">
        <v>54</v>
      </c>
      <c r="E24" s="13">
        <v>34488</v>
      </c>
      <c r="F24" s="14">
        <v>45991</v>
      </c>
      <c r="G24" s="9">
        <f t="shared" ca="1" si="0"/>
        <v>62.54664201389096</v>
      </c>
      <c r="H24" s="14">
        <f t="shared" si="1"/>
        <v>45931</v>
      </c>
      <c r="I24" s="15" t="s">
        <v>94</v>
      </c>
      <c r="J24" s="16" t="s">
        <v>11</v>
      </c>
      <c r="K24" s="17" t="s">
        <v>108</v>
      </c>
      <c r="L24" s="18">
        <f t="shared" ca="1" si="2"/>
        <v>45928.453357986109</v>
      </c>
      <c r="M24" s="19" t="s">
        <v>18</v>
      </c>
    </row>
    <row r="25" spans="1:13" ht="24" x14ac:dyDescent="0.25">
      <c r="A25" s="11">
        <v>60</v>
      </c>
      <c r="B25" s="12" t="s">
        <v>95</v>
      </c>
      <c r="C25" s="12" t="s">
        <v>96</v>
      </c>
      <c r="D25" s="12" t="s">
        <v>15</v>
      </c>
      <c r="E25" s="13">
        <v>14776</v>
      </c>
      <c r="F25" s="14">
        <v>45991</v>
      </c>
      <c r="G25" s="9">
        <f t="shared" ca="1" si="0"/>
        <v>62.54664201389096</v>
      </c>
      <c r="H25" s="14">
        <f t="shared" si="1"/>
        <v>45931</v>
      </c>
      <c r="I25" s="15" t="s">
        <v>97</v>
      </c>
      <c r="J25" s="16" t="s">
        <v>11</v>
      </c>
      <c r="K25" s="17" t="s">
        <v>109</v>
      </c>
      <c r="L25" s="18">
        <f t="shared" ca="1" si="2"/>
        <v>45928.453357986109</v>
      </c>
      <c r="M25" s="19" t="s">
        <v>21</v>
      </c>
    </row>
    <row r="26" spans="1:13" ht="24" x14ac:dyDescent="0.25">
      <c r="A26" s="11">
        <v>79</v>
      </c>
      <c r="B26" s="12" t="s">
        <v>98</v>
      </c>
      <c r="C26" s="12" t="s">
        <v>99</v>
      </c>
      <c r="D26" s="12" t="s">
        <v>14</v>
      </c>
      <c r="E26" s="13">
        <v>99000</v>
      </c>
      <c r="F26" s="14">
        <v>45991</v>
      </c>
      <c r="G26" s="9">
        <f t="shared" ca="1" si="0"/>
        <v>62.54664201389096</v>
      </c>
      <c r="H26" s="14">
        <f t="shared" si="1"/>
        <v>45931</v>
      </c>
      <c r="I26" s="15" t="s">
        <v>100</v>
      </c>
      <c r="J26" s="16" t="s">
        <v>11</v>
      </c>
      <c r="K26" s="17" t="s">
        <v>109</v>
      </c>
      <c r="L26" s="18">
        <f t="shared" ca="1" si="2"/>
        <v>45928.453357986109</v>
      </c>
      <c r="M26" s="19" t="s">
        <v>21</v>
      </c>
    </row>
    <row r="27" spans="1:13" ht="36" x14ac:dyDescent="0.25">
      <c r="A27" s="11">
        <v>121</v>
      </c>
      <c r="B27" s="12" t="s">
        <v>101</v>
      </c>
      <c r="C27" s="12" t="s">
        <v>102</v>
      </c>
      <c r="D27" s="12" t="s">
        <v>16</v>
      </c>
      <c r="E27" s="13">
        <v>400000</v>
      </c>
      <c r="F27" s="14">
        <v>45991</v>
      </c>
      <c r="G27" s="9">
        <f t="shared" ca="1" si="0"/>
        <v>62.54664201389096</v>
      </c>
      <c r="H27" s="14">
        <f t="shared" si="1"/>
        <v>45931</v>
      </c>
      <c r="I27" s="15" t="s">
        <v>103</v>
      </c>
      <c r="J27" s="16" t="s">
        <v>11</v>
      </c>
      <c r="K27" s="17" t="s">
        <v>107</v>
      </c>
      <c r="L27" s="18">
        <f t="shared" ca="1" si="2"/>
        <v>45928.453357986109</v>
      </c>
      <c r="M27" s="19" t="s">
        <v>22</v>
      </c>
    </row>
    <row r="28" spans="1:13" x14ac:dyDescent="0.25">
      <c r="A28" s="11">
        <v>120</v>
      </c>
      <c r="B28" s="12" t="s">
        <v>104</v>
      </c>
      <c r="C28" s="12" t="s">
        <v>105</v>
      </c>
      <c r="D28" s="12" t="s">
        <v>25</v>
      </c>
      <c r="E28" s="13">
        <v>189264.47</v>
      </c>
      <c r="F28" s="14">
        <v>45991</v>
      </c>
      <c r="G28" s="9">
        <f t="shared" ca="1" si="0"/>
        <v>62.54664201389096</v>
      </c>
      <c r="H28" s="14">
        <f t="shared" si="1"/>
        <v>45931</v>
      </c>
      <c r="I28" s="15" t="s">
        <v>106</v>
      </c>
      <c r="J28" s="16" t="s">
        <v>11</v>
      </c>
      <c r="K28" s="17" t="s">
        <v>107</v>
      </c>
      <c r="L28" s="18">
        <f t="shared" ca="1" si="2"/>
        <v>45928.453357986109</v>
      </c>
      <c r="M28" s="19" t="s">
        <v>21</v>
      </c>
    </row>
  </sheetData>
  <autoFilter ref="A1:M28" xr:uid="{00000000-0001-0000-0000-000000000000}"/>
  <conditionalFormatting sqref="C1">
    <cfRule type="duplicateValues" dxfId="4" priority="5"/>
  </conditionalFormatting>
  <conditionalFormatting sqref="C16">
    <cfRule type="duplicateValues" dxfId="3" priority="2"/>
  </conditionalFormatting>
  <conditionalFormatting sqref="C17:C21 C13:C15 C2:C9">
    <cfRule type="duplicateValues" dxfId="2" priority="11"/>
  </conditionalFormatting>
  <conditionalFormatting sqref="C24:C28 C22">
    <cfRule type="duplicateValues" dxfId="1" priority="12"/>
  </conditionalFormatting>
  <conditionalFormatting sqref="C24:C28 C13:C22 C2:C9">
    <cfRule type="duplicateValues" dxfId="0" priority="15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SEJINI, SALLY HUSSEIN</dc:creator>
  <cp:lastModifiedBy>SEJINI, SALLY HUSSEIN</cp:lastModifiedBy>
  <dcterms:created xsi:type="dcterms:W3CDTF">2024-05-15T09:54:07Z</dcterms:created>
  <dcterms:modified xsi:type="dcterms:W3CDTF">2025-09-28T07:55:06Z</dcterms:modified>
</cp:coreProperties>
</file>