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77404\Desktop\contracts\BG\"/>
    </mc:Choice>
  </mc:AlternateContent>
  <xr:revisionPtr revIDLastSave="0" documentId="13_ncr:1_{915D5246-B310-4B07-9F58-D61A9E5F1D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4" i="1" l="1"/>
  <c r="G64" i="1" s="1"/>
  <c r="H64" i="1"/>
  <c r="L63" i="1"/>
  <c r="G63" i="1" s="1"/>
  <c r="H63" i="1"/>
  <c r="L62" i="1"/>
  <c r="G62" i="1" s="1"/>
  <c r="H62" i="1"/>
  <c r="L61" i="1"/>
  <c r="G61" i="1" s="1"/>
  <c r="H61" i="1"/>
  <c r="L60" i="1"/>
  <c r="G60" i="1" s="1"/>
  <c r="H60" i="1"/>
  <c r="L59" i="1"/>
  <c r="G59" i="1" s="1"/>
  <c r="H59" i="1"/>
  <c r="L58" i="1"/>
  <c r="G58" i="1" s="1"/>
  <c r="H58" i="1"/>
  <c r="L57" i="1"/>
  <c r="G57" i="1" s="1"/>
  <c r="H57" i="1"/>
  <c r="L56" i="1"/>
  <c r="G56" i="1" s="1"/>
  <c r="H56" i="1"/>
  <c r="L55" i="1"/>
  <c r="G55" i="1" s="1"/>
  <c r="H55" i="1"/>
  <c r="L54" i="1"/>
  <c r="G54" i="1" s="1"/>
  <c r="H54" i="1"/>
  <c r="L53" i="1"/>
  <c r="G53" i="1" s="1"/>
  <c r="H53" i="1"/>
  <c r="L52" i="1"/>
  <c r="G52" i="1" s="1"/>
  <c r="H52" i="1"/>
  <c r="L51" i="1"/>
  <c r="G51" i="1" s="1"/>
  <c r="H51" i="1"/>
  <c r="L50" i="1"/>
  <c r="G50" i="1" s="1"/>
  <c r="H50" i="1"/>
  <c r="L49" i="1"/>
  <c r="G49" i="1" s="1"/>
  <c r="H49" i="1"/>
  <c r="L48" i="1"/>
  <c r="G48" i="1" s="1"/>
  <c r="H48" i="1"/>
  <c r="L47" i="1"/>
  <c r="G47" i="1" s="1"/>
  <c r="H47" i="1"/>
  <c r="L46" i="1"/>
  <c r="G46" i="1" s="1"/>
  <c r="H46" i="1"/>
  <c r="L45" i="1"/>
  <c r="G45" i="1" s="1"/>
  <c r="H45" i="1"/>
  <c r="L44" i="1"/>
  <c r="G44" i="1" s="1"/>
  <c r="H44" i="1"/>
  <c r="L43" i="1"/>
  <c r="G43" i="1" s="1"/>
  <c r="H43" i="1"/>
  <c r="L42" i="1"/>
  <c r="G42" i="1" s="1"/>
  <c r="H42" i="1"/>
  <c r="L41" i="1"/>
  <c r="G41" i="1" s="1"/>
  <c r="H41" i="1"/>
  <c r="L40" i="1"/>
  <c r="G40" i="1" s="1"/>
  <c r="H40" i="1"/>
  <c r="L39" i="1"/>
  <c r="G39" i="1" s="1"/>
  <c r="H39" i="1"/>
  <c r="L38" i="1"/>
  <c r="G38" i="1" s="1"/>
  <c r="H38" i="1"/>
  <c r="L37" i="1"/>
  <c r="G37" i="1" s="1"/>
  <c r="H37" i="1"/>
  <c r="L36" i="1"/>
  <c r="G36" i="1" s="1"/>
  <c r="H36" i="1"/>
  <c r="L35" i="1"/>
  <c r="G35" i="1" s="1"/>
  <c r="H35" i="1"/>
  <c r="L34" i="1"/>
  <c r="G34" i="1" s="1"/>
  <c r="H34" i="1"/>
  <c r="L33" i="1"/>
  <c r="G33" i="1" s="1"/>
  <c r="H33" i="1"/>
  <c r="L32" i="1"/>
  <c r="G32" i="1" s="1"/>
  <c r="H32" i="1"/>
  <c r="L31" i="1"/>
  <c r="G31" i="1" s="1"/>
  <c r="H31" i="1"/>
  <c r="L30" i="1"/>
  <c r="G30" i="1" s="1"/>
  <c r="H30" i="1"/>
  <c r="L29" i="1"/>
  <c r="G29" i="1" s="1"/>
  <c r="H29" i="1"/>
  <c r="L28" i="1"/>
  <c r="G28" i="1" s="1"/>
  <c r="H28" i="1"/>
  <c r="L27" i="1"/>
  <c r="G27" i="1" s="1"/>
  <c r="H27" i="1"/>
  <c r="L26" i="1"/>
  <c r="G26" i="1" s="1"/>
  <c r="H26" i="1"/>
  <c r="L25" i="1"/>
  <c r="G25" i="1" s="1"/>
  <c r="H25" i="1"/>
  <c r="L24" i="1"/>
  <c r="G24" i="1" s="1"/>
  <c r="H24" i="1"/>
  <c r="L23" i="1"/>
  <c r="G23" i="1" s="1"/>
  <c r="H23" i="1"/>
  <c r="L22" i="1"/>
  <c r="G22" i="1" s="1"/>
  <c r="H22" i="1"/>
  <c r="L21" i="1"/>
  <c r="G21" i="1" s="1"/>
  <c r="H21" i="1"/>
  <c r="L20" i="1"/>
  <c r="G20" i="1" s="1"/>
  <c r="H20" i="1"/>
  <c r="L19" i="1"/>
  <c r="G19" i="1" s="1"/>
  <c r="H19" i="1"/>
  <c r="L18" i="1"/>
  <c r="G18" i="1" s="1"/>
  <c r="H18" i="1"/>
  <c r="L17" i="1"/>
  <c r="G17" i="1" s="1"/>
  <c r="H17" i="1"/>
  <c r="L16" i="1"/>
  <c r="G16" i="1" s="1"/>
  <c r="H16" i="1"/>
  <c r="L15" i="1"/>
  <c r="G15" i="1" s="1"/>
  <c r="H15" i="1"/>
  <c r="L14" i="1"/>
  <c r="G14" i="1" s="1"/>
  <c r="H14" i="1"/>
  <c r="L13" i="1"/>
  <c r="G13" i="1" s="1"/>
  <c r="H13" i="1"/>
  <c r="L12" i="1"/>
  <c r="G12" i="1" s="1"/>
  <c r="H12" i="1"/>
  <c r="L11" i="1"/>
  <c r="G11" i="1" s="1"/>
  <c r="H11" i="1"/>
  <c r="L10" i="1"/>
  <c r="G10" i="1" s="1"/>
  <c r="H10" i="1"/>
  <c r="L9" i="1"/>
  <c r="G9" i="1" s="1"/>
  <c r="H9" i="1"/>
  <c r="L8" i="1"/>
  <c r="G8" i="1" s="1"/>
  <c r="H8" i="1"/>
  <c r="L7" i="1"/>
  <c r="G7" i="1" s="1"/>
  <c r="H7" i="1"/>
  <c r="L6" i="1"/>
  <c r="G6" i="1" s="1"/>
  <c r="H6" i="1"/>
  <c r="L5" i="1"/>
  <c r="G5" i="1" s="1"/>
  <c r="H5" i="1"/>
  <c r="L4" i="1"/>
  <c r="G4" i="1" s="1"/>
  <c r="H4" i="1"/>
  <c r="L3" i="1"/>
  <c r="G3" i="1" s="1"/>
  <c r="H3" i="1"/>
  <c r="L2" i="1"/>
  <c r="G2" i="1" s="1"/>
  <c r="H2" i="1"/>
</calcChain>
</file>

<file path=xl/sharedStrings.xml><?xml version="1.0" encoding="utf-8"?>
<sst xmlns="http://schemas.openxmlformats.org/spreadsheetml/2006/main" count="445" uniqueCount="212">
  <si>
    <t>S/N</t>
  </si>
  <si>
    <t>CONTRACTOR NAME</t>
  </si>
  <si>
    <t>BANK GUARANTEE NUMBER</t>
  </si>
  <si>
    <t>BANK NAME</t>
  </si>
  <si>
    <t>AMOUNT</t>
  </si>
  <si>
    <t>VALIDITY DATE</t>
  </si>
  <si>
    <t>DAYS VALID</t>
  </si>
  <si>
    <t>RENEWAL DATE</t>
  </si>
  <si>
    <t>CONTRACT NO.</t>
  </si>
  <si>
    <t>Type</t>
  </si>
  <si>
    <t>Today</t>
  </si>
  <si>
    <t>FINAL</t>
  </si>
  <si>
    <t>RIYAD BANK</t>
  </si>
  <si>
    <t>ALINMA BANK</t>
  </si>
  <si>
    <t>BANQUE SAUDI FRANSI</t>
  </si>
  <si>
    <t>ANB</t>
  </si>
  <si>
    <t>SAB</t>
  </si>
  <si>
    <t>فاطمة</t>
  </si>
  <si>
    <t>سالي</t>
  </si>
  <si>
    <t>عبد الكريم</t>
  </si>
  <si>
    <t>نورة</t>
  </si>
  <si>
    <t>العنود</t>
  </si>
  <si>
    <t>ALRAJHI BANK</t>
  </si>
  <si>
    <t>GULF MEDICAL CO. LTD.</t>
  </si>
  <si>
    <t>SNB</t>
  </si>
  <si>
    <t>Comment</t>
  </si>
  <si>
    <t xml:space="preserve">Owner </t>
  </si>
  <si>
    <t>ALBILAD BANK</t>
  </si>
  <si>
    <t>SABB</t>
  </si>
  <si>
    <t>BNP PARIBAS</t>
  </si>
  <si>
    <t>للتمديد</t>
  </si>
  <si>
    <t>CURE DEVELOPMENT INTERNATIONAL LTD.</t>
  </si>
  <si>
    <t>RLG6626317</t>
  </si>
  <si>
    <t>C/0147/22</t>
  </si>
  <si>
    <t>شركة الحلول المتسارعة للاتصالات و تقنية المعلومات</t>
  </si>
  <si>
    <t>RLG6617038</t>
  </si>
  <si>
    <t>C/M0007/22</t>
  </si>
  <si>
    <t>DIVERSEY SAUDI ARABIA LIMITED CO,</t>
  </si>
  <si>
    <t>APNGCU440713</t>
  </si>
  <si>
    <t>C/0259/23</t>
  </si>
  <si>
    <t>SAMA MASA TRADING COMPANY.</t>
  </si>
  <si>
    <t>OGEE031069</t>
  </si>
  <si>
    <t>C/0032/42</t>
  </si>
  <si>
    <t>شركة جيل الاداره الحديثه للتجاره</t>
  </si>
  <si>
    <t>089481J</t>
  </si>
  <si>
    <t>C/0025/22</t>
  </si>
  <si>
    <t>NAIZAK GLOBAL ENGINEERING SYSTEMS</t>
  </si>
  <si>
    <t>074806K</t>
  </si>
  <si>
    <t>C/M0012/23</t>
  </si>
  <si>
    <t>شركة المثلث التقني الكامل</t>
  </si>
  <si>
    <t>04762IGS2201890</t>
  </si>
  <si>
    <t>C/0039/43</t>
  </si>
  <si>
    <t>HADANIA CORPORATION</t>
  </si>
  <si>
    <t>ARABIAN HEALTH CARE SUPPLY CO.</t>
  </si>
  <si>
    <t>C230561</t>
  </si>
  <si>
    <t>AL HADA CONTRACTING CO. LTD</t>
  </si>
  <si>
    <t>OG/CC049152</t>
  </si>
  <si>
    <t>C/0127/23</t>
  </si>
  <si>
    <t>DEUTSCHE BANK</t>
  </si>
  <si>
    <t>Branch Office of Mercer Consulting Limited</t>
  </si>
  <si>
    <t>507BGG2500216</t>
  </si>
  <si>
    <t>شركة الخليج الطبيه المحدوده</t>
  </si>
  <si>
    <t>B284519</t>
  </si>
  <si>
    <t xml:space="preserve">NCB </t>
  </si>
  <si>
    <t>c/0044/43</t>
  </si>
  <si>
    <t>ERNST AND YOUNG PROFISSIONAL SERVICES</t>
  </si>
  <si>
    <t>PEBHOR417111</t>
  </si>
  <si>
    <t>C/0149/22</t>
  </si>
  <si>
    <t>ABDULREHMAN ALGOSAIBI G.T.C.</t>
  </si>
  <si>
    <t>C230884</t>
  </si>
  <si>
    <t>C/0047/41</t>
  </si>
  <si>
    <t>FAROUK, MAAMOUN TAMER &amp; CO.</t>
  </si>
  <si>
    <t>JLG6602162</t>
  </si>
  <si>
    <t>C/0008/22</t>
  </si>
  <si>
    <t>SAMIR TRADING &amp; MARKETING - CJSC.</t>
  </si>
  <si>
    <t>JLG6605193</t>
  </si>
  <si>
    <t>C/M0014/22</t>
  </si>
  <si>
    <t>GULF GATE TECHNOLOGIES COMPANY LIMITED</t>
  </si>
  <si>
    <t>MD2334500020</t>
  </si>
  <si>
    <t>C/0006/24</t>
  </si>
  <si>
    <t>C226305</t>
  </si>
  <si>
    <t>C/M0032/23</t>
  </si>
  <si>
    <t>ACCUMED SAUDI COMPANY LTD.</t>
  </si>
  <si>
    <t>APNCBG523925</t>
  </si>
  <si>
    <t>C/0140/22</t>
  </si>
  <si>
    <t>AL-FAISALIAH MEDICAL SYSTEMS CO.</t>
  </si>
  <si>
    <t>OG/CC038437</t>
  </si>
  <si>
    <t>C/0029/43</t>
  </si>
  <si>
    <t>GULF MEDICAL CO., LTD.</t>
  </si>
  <si>
    <t>091644J</t>
  </si>
  <si>
    <t>C/0121/22</t>
  </si>
  <si>
    <t>ABDULLATIF JAMEEL CO.</t>
  </si>
  <si>
    <t>JLG6901412</t>
  </si>
  <si>
    <t>REDA TRADING &amp; DEVELOPMENT CO.MACHINERY AND EQUIPMENT LTD.</t>
  </si>
  <si>
    <t>PEBGCU509259</t>
  </si>
  <si>
    <t>C/0168/23</t>
  </si>
  <si>
    <t>HONEYWELL (TURKI ARABIA LIMITED)</t>
  </si>
  <si>
    <t>APNGCU436326</t>
  </si>
  <si>
    <t>C/0181/23</t>
  </si>
  <si>
    <t xml:space="preserve">ARAB BUILDERS </t>
  </si>
  <si>
    <t>LG2434700022</t>
  </si>
  <si>
    <t>Nytrogin Company</t>
  </si>
  <si>
    <t>MD2301700019</t>
  </si>
  <si>
    <t>C/0019/23</t>
  </si>
  <si>
    <t>INTERCONTINENTAL HOTEL RIYADH</t>
  </si>
  <si>
    <t>MD2435200008</t>
  </si>
  <si>
    <t>WETICO (Water &amp; Environment Technologies Co. Ltd)</t>
  </si>
  <si>
    <t>125715R</t>
  </si>
  <si>
    <t>C/0117/22</t>
  </si>
  <si>
    <t>LGO-363779-23RYD</t>
  </si>
  <si>
    <t>GIB</t>
  </si>
  <si>
    <t>C/0274/23</t>
  </si>
  <si>
    <t>مؤسسة أرزاق السعوديه للتجاره</t>
  </si>
  <si>
    <t>RLG6510778</t>
  </si>
  <si>
    <t>C/0042/43</t>
  </si>
  <si>
    <t>AES arabia</t>
  </si>
  <si>
    <t>RLG6710084</t>
  </si>
  <si>
    <t>C/0323/23</t>
  </si>
  <si>
    <t>Retaj Contracting Co LTD</t>
  </si>
  <si>
    <t>RLG6900105</t>
  </si>
  <si>
    <t>C/0240/23</t>
  </si>
  <si>
    <t>ORIENT MATERIALS CO.</t>
  </si>
  <si>
    <t>RLG6904604</t>
  </si>
  <si>
    <t>C/0084/22</t>
  </si>
  <si>
    <t>Mckinsey and Company Lme Limted</t>
  </si>
  <si>
    <t>PEBHOR394494</t>
  </si>
  <si>
    <t>C/0056/43</t>
  </si>
  <si>
    <t>SAUDI INVESTMENT BANK</t>
  </si>
  <si>
    <t>Hadef Information Technology Co.</t>
  </si>
  <si>
    <t>C218471</t>
  </si>
  <si>
    <t>C/M0012/22</t>
  </si>
  <si>
    <t>ARABIAN SALMIYA TRADING EST.</t>
  </si>
  <si>
    <t>B294752</t>
  </si>
  <si>
    <t>C/M0017/22</t>
  </si>
  <si>
    <t>B294750</t>
  </si>
  <si>
    <t>C/M0016/22</t>
  </si>
  <si>
    <t>MEDICAL SUPPLIES &amp; SERVICES CO. LTD. MEDISERV</t>
  </si>
  <si>
    <t>C226205</t>
  </si>
  <si>
    <t>C/M0034/23</t>
  </si>
  <si>
    <t>Aldawal System Co. for Information Technology</t>
  </si>
  <si>
    <t>LG2516900002</t>
  </si>
  <si>
    <t>C/0029/23</t>
  </si>
  <si>
    <t>شركة سعود عبدالعزيز الشعلان المحدوده</t>
  </si>
  <si>
    <t>DLG6600658</t>
  </si>
  <si>
    <t>C/0021/22</t>
  </si>
  <si>
    <t>VEOLIA WATER TECHNOLOGIES - SAUDI CONTRACTING</t>
  </si>
  <si>
    <t>PEBGCU440605</t>
  </si>
  <si>
    <t>C/0253/23</t>
  </si>
  <si>
    <t>Integrated Networks Company</t>
  </si>
  <si>
    <t>MD2500500005</t>
  </si>
  <si>
    <t>Axelerated Solutions CO</t>
  </si>
  <si>
    <t>APNGCU420012</t>
  </si>
  <si>
    <t>C/0004/23</t>
  </si>
  <si>
    <t>Thabat Construction Company ltd.</t>
  </si>
  <si>
    <t>R129513</t>
  </si>
  <si>
    <t>C/M0001/24</t>
  </si>
  <si>
    <t>128750R</t>
  </si>
  <si>
    <t>C/0238/23</t>
  </si>
  <si>
    <t>APNGCU420330</t>
  </si>
  <si>
    <t>C/0017/23</t>
  </si>
  <si>
    <t>ILGSA023747</t>
  </si>
  <si>
    <t>C/0014/23</t>
  </si>
  <si>
    <t>TADARAK CONSTRUCTION COMPANY</t>
  </si>
  <si>
    <t>RLG6800340</t>
  </si>
  <si>
    <t>C/0013/24</t>
  </si>
  <si>
    <t>091717J</t>
  </si>
  <si>
    <t>C/0024/23</t>
  </si>
  <si>
    <t>Hay Group Saudi Araba Limited</t>
  </si>
  <si>
    <t>PEBHOR441408</t>
  </si>
  <si>
    <t>C/0297/23</t>
  </si>
  <si>
    <t>شركة بيتا للاجهزه العلميه المحدوده</t>
  </si>
  <si>
    <t>B303581</t>
  </si>
  <si>
    <t>C/M0027/23</t>
  </si>
  <si>
    <t>BAUD TELECOM COMPANY (BTC NETWORKS)</t>
  </si>
  <si>
    <t>MD2329899008</t>
  </si>
  <si>
    <t>C/0057/41</t>
  </si>
  <si>
    <t>Rawafed Taibah</t>
  </si>
  <si>
    <t>23OGTE49100099</t>
  </si>
  <si>
    <t>C/0007/23</t>
  </si>
  <si>
    <t>AMDAD SOLUTIONS</t>
  </si>
  <si>
    <t>M110930</t>
  </si>
  <si>
    <t>C/0024/24</t>
  </si>
  <si>
    <t xml:space="preserve">ALMARSHD </t>
  </si>
  <si>
    <t>0000123BGG020043</t>
  </si>
  <si>
    <t>Bahrain bank</t>
  </si>
  <si>
    <t>C/0025/40</t>
  </si>
  <si>
    <t>Alawour Medical Co. Ltd.</t>
  </si>
  <si>
    <t>MD2304499004</t>
  </si>
  <si>
    <t>C/M0002/23</t>
  </si>
  <si>
    <t>190013LTGPB</t>
  </si>
  <si>
    <t>Triple Protection Foundation</t>
  </si>
  <si>
    <t>DLG6900293</t>
  </si>
  <si>
    <t>TEAM1 ADVANCED COMPANY FOR CONTRACTING</t>
  </si>
  <si>
    <t>LGI-0919-25-4424</t>
  </si>
  <si>
    <t>ALJAZIRA BANK</t>
  </si>
  <si>
    <t>SAMEER TRADING &amp; SHOPPING</t>
  </si>
  <si>
    <t>B280825</t>
  </si>
  <si>
    <t>C/0037/40</t>
  </si>
  <si>
    <t>Tahaluf Events Limited</t>
  </si>
  <si>
    <t>PEBHOR565791</t>
  </si>
  <si>
    <t>Al-SAGHYIR Trading- Contracting Co.</t>
  </si>
  <si>
    <t>OG/CC046034</t>
  </si>
  <si>
    <t>C/0022/23</t>
  </si>
  <si>
    <t>ALSALEM - YORK SERVICES LTD.</t>
  </si>
  <si>
    <t>B304536</t>
  </si>
  <si>
    <t>C/0248/23</t>
  </si>
  <si>
    <t>Saudi NMG</t>
  </si>
  <si>
    <t>094364G</t>
  </si>
  <si>
    <t>C/0143/24</t>
  </si>
  <si>
    <t>للإفراج</t>
  </si>
  <si>
    <t xml:space="preserve">للإفراج </t>
  </si>
  <si>
    <t>للإفراج لانهاء العقد بين الطرفين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</si>
</sst>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;[Red]#,##0.00"/>
    <numFmt numFmtId="165" formatCode="[$-409]d\-mmm\-yyyy;@"/>
    <numFmt numFmtId="166" formatCode="0_);[Red]\(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2" fillId="2" borderId="2" xfId="0" applyNumberFormat="1" applyFont="1" applyFill="1" applyBorder="1" applyAlignment="1">
      <alignment horizontal="center" vertical="center" wrapText="1" readingOrder="1"/>
    </xf>
    <xf numFmtId="165" fontId="2" fillId="2" borderId="2" xfId="0" applyNumberFormat="1" applyFont="1" applyFill="1" applyBorder="1" applyAlignment="1">
      <alignment horizontal="center" vertical="center" wrapText="1" readingOrder="1"/>
    </xf>
    <xf numFmtId="166" fontId="3" fillId="2" borderId="2" xfId="1" applyNumberFormat="1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165" fontId="3" fillId="2" borderId="2" xfId="0" applyNumberFormat="1" applyFont="1" applyFill="1" applyBorder="1" applyAlignment="1">
      <alignment horizontal="center" vertical="center" wrapText="1" readingOrder="1"/>
    </xf>
    <xf numFmtId="165" fontId="3" fillId="2" borderId="2" xfId="0" applyNumberFormat="1" applyFont="1" applyFill="1" applyBorder="1" applyAlignment="1">
      <alignment horizontal="center" vertical="center"/>
    </xf>
    <xf numFmtId="166" fontId="5" fillId="0" borderId="2" xfId="1" applyNumberFormat="1" applyFont="1" applyFill="1" applyBorder="1" applyAlignment="1">
      <alignment horizontal="center" vertical="center" wrapText="1" readingOrder="1"/>
    </xf>
    <xf numFmtId="0" fontId="0" fillId="0" borderId="0" xfId="0" applyFill="1"/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164" fontId="4" fillId="0" borderId="2" xfId="0" applyNumberFormat="1" applyFont="1" applyBorder="1" applyAlignment="1">
      <alignment horizontal="center" vertical="center" wrapText="1" readingOrder="1"/>
    </xf>
    <xf numFmtId="165" fontId="4" fillId="0" borderId="2" xfId="0" applyNumberFormat="1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165" fontId="5" fillId="0" borderId="2" xfId="0" applyNumberFormat="1" applyFont="1" applyBorder="1" applyAlignment="1">
      <alignment horizontal="center" vertical="center" wrapText="1" readingOrder="1"/>
    </xf>
    <xf numFmtId="1" fontId="4" fillId="0" borderId="2" xfId="0" applyNumberFormat="1" applyFont="1" applyBorder="1" applyAlignment="1">
      <alignment horizontal="center" vertical="center" wrapText="1" readingOrder="2"/>
    </xf>
    <xf numFmtId="165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 readingOrder="1"/>
    </xf>
    <xf numFmtId="1" fontId="7" fillId="0" borderId="2" xfId="0" applyNumberFormat="1" applyFont="1" applyBorder="1" applyAlignment="1">
      <alignment horizontal="center" vertical="center" wrapText="1" readingOrder="2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topLeftCell="A16" workbookViewId="0">
      <selection activeCell="K35" sqref="K35"/>
    </sheetView>
  </sheetViews>
  <sheetFormatPr defaultColWidth="25.7109375" defaultRowHeight="15" x14ac:dyDescent="0.25"/>
  <cols>
    <col min="1" max="1" width="4" bestFit="1" customWidth="1"/>
    <col min="2" max="2" width="24.85546875" bestFit="1" customWidth="1"/>
    <col min="3" max="3" width="23.7109375" bestFit="1" customWidth="1"/>
    <col min="4" max="4" width="20.5703125" bestFit="1" customWidth="1"/>
    <col min="5" max="5" width="12.7109375" bestFit="1" customWidth="1"/>
    <col min="6" max="6" width="13.140625" bestFit="1" customWidth="1"/>
    <col min="7" max="7" width="9.5703125" bestFit="1" customWidth="1"/>
    <col min="8" max="8" width="14" bestFit="1" customWidth="1"/>
    <col min="9" max="9" width="11.85546875" bestFit="1" customWidth="1"/>
    <col min="10" max="10" width="9.140625" bestFit="1" customWidth="1"/>
    <col min="11" max="11" width="13.42578125" bestFit="1" customWidth="1"/>
    <col min="12" max="12" width="12.5703125" bestFit="1" customWidth="1"/>
    <col min="13" max="13" width="7" bestFit="1" customWidth="1"/>
  </cols>
  <sheetData>
    <row r="1" spans="1:13" ht="36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7" t="s">
        <v>9</v>
      </c>
      <c r="K1" s="20" t="s">
        <v>25</v>
      </c>
      <c r="L1" s="8" t="s">
        <v>10</v>
      </c>
      <c r="M1" s="21" t="s">
        <v>26</v>
      </c>
    </row>
    <row r="2" spans="1:13" ht="24" x14ac:dyDescent="0.25">
      <c r="A2" s="11">
        <v>130</v>
      </c>
      <c r="B2" s="12" t="s">
        <v>31</v>
      </c>
      <c r="C2" s="12" t="s">
        <v>32</v>
      </c>
      <c r="D2" s="12" t="s">
        <v>12</v>
      </c>
      <c r="E2" s="13">
        <v>196000</v>
      </c>
      <c r="F2" s="14">
        <v>45992</v>
      </c>
      <c r="G2" s="9">
        <f t="shared" ref="G2:G28" ca="1" si="0">F2-L2</f>
        <v>25.498867245369183</v>
      </c>
      <c r="H2" s="14">
        <f t="shared" ref="H2:H28" si="1">F2-60</f>
        <v>45932</v>
      </c>
      <c r="I2" s="15" t="s">
        <v>33</v>
      </c>
      <c r="J2" s="16" t="s">
        <v>11</v>
      </c>
      <c r="K2" s="17" t="s">
        <v>30</v>
      </c>
      <c r="L2" s="18">
        <f t="shared" ref="L2:L28" ca="1" si="2">NOW()</f>
        <v>45966.501132754631</v>
      </c>
      <c r="M2" s="19" t="s">
        <v>21</v>
      </c>
    </row>
    <row r="3" spans="1:13" ht="24" x14ac:dyDescent="0.25">
      <c r="A3" s="11">
        <v>135</v>
      </c>
      <c r="B3" s="12" t="s">
        <v>34</v>
      </c>
      <c r="C3" s="12" t="s">
        <v>35</v>
      </c>
      <c r="D3" s="12" t="s">
        <v>12</v>
      </c>
      <c r="E3" s="13">
        <v>700000</v>
      </c>
      <c r="F3" s="14">
        <v>45992</v>
      </c>
      <c r="G3" s="9">
        <f t="shared" ca="1" si="0"/>
        <v>25.498867245369183</v>
      </c>
      <c r="H3" s="14">
        <f t="shared" si="1"/>
        <v>45932</v>
      </c>
      <c r="I3" s="15" t="s">
        <v>36</v>
      </c>
      <c r="J3" s="16" t="s">
        <v>11</v>
      </c>
      <c r="K3" s="17" t="s">
        <v>30</v>
      </c>
      <c r="L3" s="18">
        <f t="shared" ca="1" si="2"/>
        <v>45966.501132754631</v>
      </c>
      <c r="M3" s="19" t="s">
        <v>21</v>
      </c>
    </row>
    <row r="4" spans="1:13" ht="24" x14ac:dyDescent="0.25">
      <c r="A4" s="11">
        <v>138</v>
      </c>
      <c r="B4" s="12" t="s">
        <v>37</v>
      </c>
      <c r="C4" s="12" t="s">
        <v>38</v>
      </c>
      <c r="D4" s="12" t="s">
        <v>16</v>
      </c>
      <c r="E4" s="13">
        <v>15101</v>
      </c>
      <c r="F4" s="14">
        <v>45994</v>
      </c>
      <c r="G4" s="9">
        <f t="shared" ca="1" si="0"/>
        <v>27.498867245369183</v>
      </c>
      <c r="H4" s="14">
        <f t="shared" si="1"/>
        <v>45934</v>
      </c>
      <c r="I4" s="15" t="s">
        <v>39</v>
      </c>
      <c r="J4" s="16" t="s">
        <v>11</v>
      </c>
      <c r="K4" s="17" t="s">
        <v>30</v>
      </c>
      <c r="L4" s="18">
        <f t="shared" ca="1" si="2"/>
        <v>45966.501132754631</v>
      </c>
      <c r="M4" s="19" t="s">
        <v>19</v>
      </c>
    </row>
    <row r="5" spans="1:13" ht="24" x14ac:dyDescent="0.25">
      <c r="A5" s="11">
        <v>56</v>
      </c>
      <c r="B5" s="12" t="s">
        <v>40</v>
      </c>
      <c r="C5" s="12" t="s">
        <v>41</v>
      </c>
      <c r="D5" s="12" t="s">
        <v>15</v>
      </c>
      <c r="E5" s="13">
        <v>94100</v>
      </c>
      <c r="F5" s="14">
        <v>45996</v>
      </c>
      <c r="G5" s="9">
        <f t="shared" ca="1" si="0"/>
        <v>29.498867245369183</v>
      </c>
      <c r="H5" s="14">
        <f t="shared" si="1"/>
        <v>45936</v>
      </c>
      <c r="I5" s="15" t="s">
        <v>42</v>
      </c>
      <c r="J5" s="16" t="s">
        <v>11</v>
      </c>
      <c r="K5" s="17" t="s">
        <v>30</v>
      </c>
      <c r="L5" s="18">
        <f t="shared" ca="1" si="2"/>
        <v>45966.501132754631</v>
      </c>
      <c r="M5" s="19" t="s">
        <v>18</v>
      </c>
    </row>
    <row r="6" spans="1:13" x14ac:dyDescent="0.25">
      <c r="A6" s="11">
        <v>81</v>
      </c>
      <c r="B6" s="12" t="s">
        <v>43</v>
      </c>
      <c r="C6" s="12" t="s">
        <v>44</v>
      </c>
      <c r="D6" s="12" t="s">
        <v>14</v>
      </c>
      <c r="E6" s="13">
        <v>506075</v>
      </c>
      <c r="F6" s="14">
        <v>45996</v>
      </c>
      <c r="G6" s="9">
        <f t="shared" ca="1" si="0"/>
        <v>29.498867245369183</v>
      </c>
      <c r="H6" s="14">
        <f t="shared" si="1"/>
        <v>45936</v>
      </c>
      <c r="I6" s="15" t="s">
        <v>45</v>
      </c>
      <c r="J6" s="16" t="s">
        <v>11</v>
      </c>
      <c r="K6" s="17" t="s">
        <v>30</v>
      </c>
      <c r="L6" s="18">
        <f t="shared" ca="1" si="2"/>
        <v>45966.501132754631</v>
      </c>
      <c r="M6" s="19" t="s">
        <v>18</v>
      </c>
    </row>
    <row r="7" spans="1:13" ht="24" x14ac:dyDescent="0.25">
      <c r="A7" s="11">
        <v>137</v>
      </c>
      <c r="B7" s="12" t="s">
        <v>46</v>
      </c>
      <c r="C7" s="12" t="s">
        <v>47</v>
      </c>
      <c r="D7" s="12" t="s">
        <v>14</v>
      </c>
      <c r="E7" s="13">
        <v>64615</v>
      </c>
      <c r="F7" s="14">
        <v>45996</v>
      </c>
      <c r="G7" s="9">
        <f t="shared" ca="1" si="0"/>
        <v>29.498867245369183</v>
      </c>
      <c r="H7" s="14">
        <f t="shared" si="1"/>
        <v>45936</v>
      </c>
      <c r="I7" s="15" t="s">
        <v>48</v>
      </c>
      <c r="J7" s="16" t="s">
        <v>11</v>
      </c>
      <c r="K7" s="17" t="s">
        <v>30</v>
      </c>
      <c r="L7" s="18">
        <f t="shared" ca="1" si="2"/>
        <v>45966.501132754631</v>
      </c>
      <c r="M7" s="19" t="s">
        <v>18</v>
      </c>
    </row>
    <row r="8" spans="1:13" x14ac:dyDescent="0.25">
      <c r="A8" s="11">
        <v>14</v>
      </c>
      <c r="B8" s="12" t="s">
        <v>49</v>
      </c>
      <c r="C8" s="12" t="s">
        <v>50</v>
      </c>
      <c r="D8" s="12" t="s">
        <v>29</v>
      </c>
      <c r="E8" s="13">
        <v>440171</v>
      </c>
      <c r="F8" s="14">
        <v>46003</v>
      </c>
      <c r="G8" s="9">
        <f t="shared" ca="1" si="0"/>
        <v>36.498867245369183</v>
      </c>
      <c r="H8" s="14">
        <f t="shared" si="1"/>
        <v>45943</v>
      </c>
      <c r="I8" s="15" t="s">
        <v>51</v>
      </c>
      <c r="J8" s="16" t="s">
        <v>11</v>
      </c>
      <c r="K8" s="17" t="s">
        <v>30</v>
      </c>
      <c r="L8" s="18">
        <f t="shared" ca="1" si="2"/>
        <v>45966.501132754631</v>
      </c>
      <c r="M8" s="19" t="s">
        <v>20</v>
      </c>
    </row>
    <row r="9" spans="1:13" s="10" customFormat="1" ht="24" x14ac:dyDescent="0.25">
      <c r="A9" s="11">
        <v>175</v>
      </c>
      <c r="B9" s="12" t="s">
        <v>53</v>
      </c>
      <c r="C9" s="12" t="s">
        <v>54</v>
      </c>
      <c r="D9" s="12" t="s">
        <v>24</v>
      </c>
      <c r="E9" s="13">
        <v>30015</v>
      </c>
      <c r="F9" s="14">
        <v>46005</v>
      </c>
      <c r="G9" s="9">
        <f t="shared" ca="1" si="0"/>
        <v>38.498867245369183</v>
      </c>
      <c r="H9" s="14">
        <f t="shared" si="1"/>
        <v>45945</v>
      </c>
      <c r="I9" s="15">
        <v>434298</v>
      </c>
      <c r="J9" s="16" t="s">
        <v>11</v>
      </c>
      <c r="K9" s="17" t="s">
        <v>30</v>
      </c>
      <c r="L9" s="18">
        <f t="shared" ca="1" si="2"/>
        <v>45966.501132754631</v>
      </c>
      <c r="M9" s="19" t="s">
        <v>21</v>
      </c>
    </row>
    <row r="10" spans="1:13" ht="24" x14ac:dyDescent="0.25">
      <c r="A10" s="11">
        <v>84</v>
      </c>
      <c r="B10" s="12" t="s">
        <v>55</v>
      </c>
      <c r="C10" s="12" t="s">
        <v>56</v>
      </c>
      <c r="D10" s="12" t="s">
        <v>15</v>
      </c>
      <c r="E10" s="13">
        <v>140718</v>
      </c>
      <c r="F10" s="14">
        <v>46006</v>
      </c>
      <c r="G10" s="9">
        <f t="shared" ca="1" si="0"/>
        <v>39.498867245369183</v>
      </c>
      <c r="H10" s="14">
        <f t="shared" si="1"/>
        <v>45946</v>
      </c>
      <c r="I10" s="15" t="s">
        <v>57</v>
      </c>
      <c r="J10" s="16" t="s">
        <v>11</v>
      </c>
      <c r="K10" s="17" t="s">
        <v>30</v>
      </c>
      <c r="L10" s="18">
        <f t="shared" ca="1" si="2"/>
        <v>45966.501132754631</v>
      </c>
      <c r="M10" s="19" t="s">
        <v>18</v>
      </c>
    </row>
    <row r="11" spans="1:13" ht="24" x14ac:dyDescent="0.25">
      <c r="A11" s="11"/>
      <c r="B11" s="12" t="s">
        <v>59</v>
      </c>
      <c r="C11" s="12" t="s">
        <v>60</v>
      </c>
      <c r="D11" s="12" t="s">
        <v>58</v>
      </c>
      <c r="E11" s="13">
        <v>324500</v>
      </c>
      <c r="F11" s="14">
        <v>46006</v>
      </c>
      <c r="G11" s="9">
        <f t="shared" ca="1" si="0"/>
        <v>39.498867245369183</v>
      </c>
      <c r="H11" s="14">
        <f t="shared" si="1"/>
        <v>45946</v>
      </c>
      <c r="I11" s="15">
        <v>439596</v>
      </c>
      <c r="J11" s="16" t="s">
        <v>11</v>
      </c>
      <c r="K11" s="17" t="s">
        <v>30</v>
      </c>
      <c r="L11" s="18">
        <f t="shared" ca="1" si="2"/>
        <v>45966.501132754631</v>
      </c>
      <c r="M11" s="19" t="s">
        <v>21</v>
      </c>
    </row>
    <row r="12" spans="1:13" x14ac:dyDescent="0.25">
      <c r="A12" s="11">
        <v>55</v>
      </c>
      <c r="B12" s="12" t="s">
        <v>61</v>
      </c>
      <c r="C12" s="12" t="s">
        <v>62</v>
      </c>
      <c r="D12" s="12" t="s">
        <v>63</v>
      </c>
      <c r="E12" s="13">
        <v>72105</v>
      </c>
      <c r="F12" s="14">
        <v>46007</v>
      </c>
      <c r="G12" s="9">
        <f t="shared" ca="1" si="0"/>
        <v>40.498867245369183</v>
      </c>
      <c r="H12" s="14">
        <f t="shared" si="1"/>
        <v>45947</v>
      </c>
      <c r="I12" s="15" t="s">
        <v>64</v>
      </c>
      <c r="J12" s="16" t="s">
        <v>11</v>
      </c>
      <c r="K12" s="17" t="s">
        <v>30</v>
      </c>
      <c r="L12" s="18">
        <f t="shared" ca="1" si="2"/>
        <v>45966.501132754631</v>
      </c>
      <c r="M12" s="19" t="s">
        <v>20</v>
      </c>
    </row>
    <row r="13" spans="1:13" ht="24" x14ac:dyDescent="0.25">
      <c r="A13" s="11">
        <v>90</v>
      </c>
      <c r="B13" s="12" t="s">
        <v>65</v>
      </c>
      <c r="C13" s="12" t="s">
        <v>66</v>
      </c>
      <c r="D13" s="12" t="s">
        <v>16</v>
      </c>
      <c r="E13" s="13">
        <v>149960</v>
      </c>
      <c r="F13" s="14">
        <v>46007</v>
      </c>
      <c r="G13" s="9">
        <f t="shared" ca="1" si="0"/>
        <v>40.498867245369183</v>
      </c>
      <c r="H13" s="14">
        <f t="shared" si="1"/>
        <v>45947</v>
      </c>
      <c r="I13" s="15" t="s">
        <v>67</v>
      </c>
      <c r="J13" s="16" t="s">
        <v>11</v>
      </c>
      <c r="K13" s="17" t="s">
        <v>30</v>
      </c>
      <c r="L13" s="18">
        <f t="shared" ca="1" si="2"/>
        <v>45966.501132754631</v>
      </c>
      <c r="M13" s="19" t="s">
        <v>21</v>
      </c>
    </row>
    <row r="14" spans="1:13" ht="24" x14ac:dyDescent="0.25">
      <c r="A14" s="11">
        <v>172</v>
      </c>
      <c r="B14" s="12" t="s">
        <v>68</v>
      </c>
      <c r="C14" s="12" t="s">
        <v>69</v>
      </c>
      <c r="D14" s="12" t="s">
        <v>24</v>
      </c>
      <c r="E14" s="13">
        <v>439986</v>
      </c>
      <c r="F14" s="14">
        <v>46007</v>
      </c>
      <c r="G14" s="9">
        <f t="shared" ca="1" si="0"/>
        <v>40.498867245369183</v>
      </c>
      <c r="H14" s="14">
        <f t="shared" si="1"/>
        <v>45947</v>
      </c>
      <c r="I14" s="15" t="s">
        <v>70</v>
      </c>
      <c r="J14" s="16" t="s">
        <v>11</v>
      </c>
      <c r="K14" s="17" t="s">
        <v>30</v>
      </c>
      <c r="L14" s="18">
        <f t="shared" ca="1" si="2"/>
        <v>45966.501132754631</v>
      </c>
      <c r="M14" s="19" t="s">
        <v>18</v>
      </c>
    </row>
    <row r="15" spans="1:13" ht="24" x14ac:dyDescent="0.25">
      <c r="A15" s="11">
        <v>119</v>
      </c>
      <c r="B15" s="12" t="s">
        <v>71</v>
      </c>
      <c r="C15" s="12" t="s">
        <v>72</v>
      </c>
      <c r="D15" s="12" t="s">
        <v>12</v>
      </c>
      <c r="E15" s="13">
        <v>26598</v>
      </c>
      <c r="F15" s="14">
        <v>46009</v>
      </c>
      <c r="G15" s="9">
        <f t="shared" ca="1" si="0"/>
        <v>42.498867245369183</v>
      </c>
      <c r="H15" s="14">
        <f t="shared" si="1"/>
        <v>45949</v>
      </c>
      <c r="I15" s="15" t="s">
        <v>73</v>
      </c>
      <c r="J15" s="16" t="s">
        <v>11</v>
      </c>
      <c r="K15" s="17" t="s">
        <v>30</v>
      </c>
      <c r="L15" s="18">
        <f t="shared" ca="1" si="2"/>
        <v>45966.501132754631</v>
      </c>
      <c r="M15" s="19" t="s">
        <v>17</v>
      </c>
    </row>
    <row r="16" spans="1:13" ht="24" x14ac:dyDescent="0.25">
      <c r="A16" s="11">
        <v>131</v>
      </c>
      <c r="B16" s="12" t="s">
        <v>74</v>
      </c>
      <c r="C16" s="12" t="s">
        <v>75</v>
      </c>
      <c r="D16" s="12" t="s">
        <v>12</v>
      </c>
      <c r="E16" s="13">
        <v>110000</v>
      </c>
      <c r="F16" s="14">
        <v>46012</v>
      </c>
      <c r="G16" s="9">
        <f t="shared" ca="1" si="0"/>
        <v>45.498867245369183</v>
      </c>
      <c r="H16" s="14">
        <f t="shared" si="1"/>
        <v>45952</v>
      </c>
      <c r="I16" s="15" t="s">
        <v>76</v>
      </c>
      <c r="J16" s="16" t="s">
        <v>11</v>
      </c>
      <c r="K16" s="17" t="s">
        <v>30</v>
      </c>
      <c r="L16" s="18">
        <f t="shared" ca="1" si="2"/>
        <v>45966.501132754631</v>
      </c>
      <c r="M16" s="19" t="s">
        <v>21</v>
      </c>
    </row>
    <row r="17" spans="1:13" ht="36" x14ac:dyDescent="0.25">
      <c r="A17" s="11">
        <v>46</v>
      </c>
      <c r="B17" s="12" t="s">
        <v>77</v>
      </c>
      <c r="C17" s="12" t="s">
        <v>78</v>
      </c>
      <c r="D17" s="12" t="s">
        <v>13</v>
      </c>
      <c r="E17" s="13">
        <v>202500</v>
      </c>
      <c r="F17" s="14">
        <v>46016</v>
      </c>
      <c r="G17" s="9">
        <f t="shared" ca="1" si="0"/>
        <v>49.498867245369183</v>
      </c>
      <c r="H17" s="14">
        <f t="shared" si="1"/>
        <v>45956</v>
      </c>
      <c r="I17" s="15" t="s">
        <v>79</v>
      </c>
      <c r="J17" s="16" t="s">
        <v>11</v>
      </c>
      <c r="K17" s="17" t="s">
        <v>30</v>
      </c>
      <c r="L17" s="18">
        <f t="shared" ca="1" si="2"/>
        <v>45966.501132754631</v>
      </c>
      <c r="M17" s="19" t="s">
        <v>20</v>
      </c>
    </row>
    <row r="18" spans="1:13" ht="24" x14ac:dyDescent="0.25">
      <c r="A18" s="11">
        <v>154</v>
      </c>
      <c r="B18" s="12" t="s">
        <v>68</v>
      </c>
      <c r="C18" s="12" t="s">
        <v>80</v>
      </c>
      <c r="D18" s="12" t="s">
        <v>24</v>
      </c>
      <c r="E18" s="13">
        <v>19900</v>
      </c>
      <c r="F18" s="14">
        <v>46016</v>
      </c>
      <c r="G18" s="9">
        <f t="shared" ca="1" si="0"/>
        <v>49.498867245369183</v>
      </c>
      <c r="H18" s="14">
        <f t="shared" si="1"/>
        <v>45956</v>
      </c>
      <c r="I18" s="15" t="s">
        <v>81</v>
      </c>
      <c r="J18" s="16" t="s">
        <v>11</v>
      </c>
      <c r="K18" s="17" t="s">
        <v>30</v>
      </c>
      <c r="L18" s="18">
        <f t="shared" ca="1" si="2"/>
        <v>45966.501132754631</v>
      </c>
      <c r="M18" s="19" t="s">
        <v>18</v>
      </c>
    </row>
    <row r="19" spans="1:13" ht="24" x14ac:dyDescent="0.25">
      <c r="A19" s="11">
        <v>104</v>
      </c>
      <c r="B19" s="12" t="s">
        <v>82</v>
      </c>
      <c r="C19" s="12" t="s">
        <v>83</v>
      </c>
      <c r="D19" s="12" t="s">
        <v>16</v>
      </c>
      <c r="E19" s="13">
        <v>1000000</v>
      </c>
      <c r="F19" s="14">
        <v>46017</v>
      </c>
      <c r="G19" s="9">
        <f t="shared" ca="1" si="0"/>
        <v>50.498867245369183</v>
      </c>
      <c r="H19" s="14">
        <f t="shared" si="1"/>
        <v>45957</v>
      </c>
      <c r="I19" s="15" t="s">
        <v>84</v>
      </c>
      <c r="J19" s="16" t="s">
        <v>11</v>
      </c>
      <c r="K19" s="17" t="s">
        <v>30</v>
      </c>
      <c r="L19" s="18">
        <f t="shared" ca="1" si="2"/>
        <v>45966.501132754631</v>
      </c>
      <c r="M19" s="19" t="s">
        <v>20</v>
      </c>
    </row>
    <row r="20" spans="1:13" ht="24" x14ac:dyDescent="0.25">
      <c r="A20" s="11">
        <v>65</v>
      </c>
      <c r="B20" s="12" t="s">
        <v>85</v>
      </c>
      <c r="C20" s="12" t="s">
        <v>86</v>
      </c>
      <c r="D20" s="12" t="s">
        <v>15</v>
      </c>
      <c r="E20" s="13">
        <v>1078626</v>
      </c>
      <c r="F20" s="14">
        <v>46020</v>
      </c>
      <c r="G20" s="9">
        <f t="shared" ca="1" si="0"/>
        <v>53.498867245369183</v>
      </c>
      <c r="H20" s="14">
        <f t="shared" si="1"/>
        <v>45960</v>
      </c>
      <c r="I20" s="15" t="s">
        <v>87</v>
      </c>
      <c r="J20" s="16" t="s">
        <v>11</v>
      </c>
      <c r="K20" s="17" t="s">
        <v>30</v>
      </c>
      <c r="L20" s="18">
        <f t="shared" ca="1" si="2"/>
        <v>45966.501132754631</v>
      </c>
      <c r="M20" s="19" t="s">
        <v>20</v>
      </c>
    </row>
    <row r="21" spans="1:13" x14ac:dyDescent="0.25">
      <c r="A21" s="11">
        <v>101</v>
      </c>
      <c r="B21" s="12" t="s">
        <v>88</v>
      </c>
      <c r="C21" s="12" t="s">
        <v>89</v>
      </c>
      <c r="D21" s="12" t="s">
        <v>14</v>
      </c>
      <c r="E21" s="13">
        <v>32442</v>
      </c>
      <c r="F21" s="14">
        <v>46021</v>
      </c>
      <c r="G21" s="9">
        <f t="shared" ca="1" si="0"/>
        <v>54.498867245369183</v>
      </c>
      <c r="H21" s="14">
        <f t="shared" si="1"/>
        <v>45961</v>
      </c>
      <c r="I21" s="15" t="s">
        <v>90</v>
      </c>
      <c r="J21" s="16" t="s">
        <v>11</v>
      </c>
      <c r="K21" s="17" t="s">
        <v>30</v>
      </c>
      <c r="L21" s="18">
        <f t="shared" ca="1" si="2"/>
        <v>45966.501132754631</v>
      </c>
      <c r="M21" s="19" t="s">
        <v>18</v>
      </c>
    </row>
    <row r="22" spans="1:13" x14ac:dyDescent="0.25">
      <c r="A22" s="11">
        <v>224</v>
      </c>
      <c r="B22" s="12" t="s">
        <v>91</v>
      </c>
      <c r="C22" s="12" t="s">
        <v>92</v>
      </c>
      <c r="D22" s="12" t="s">
        <v>12</v>
      </c>
      <c r="E22" s="13">
        <v>84410</v>
      </c>
      <c r="F22" s="14">
        <v>46021</v>
      </c>
      <c r="G22" s="9">
        <f t="shared" ca="1" si="0"/>
        <v>54.498867245369183</v>
      </c>
      <c r="H22" s="14">
        <f t="shared" si="1"/>
        <v>45961</v>
      </c>
      <c r="I22" s="15">
        <v>438913</v>
      </c>
      <c r="J22" s="16" t="s">
        <v>11</v>
      </c>
      <c r="K22" s="17" t="s">
        <v>30</v>
      </c>
      <c r="L22" s="18">
        <f t="shared" ca="1" si="2"/>
        <v>45966.501132754631</v>
      </c>
      <c r="M22" s="19" t="s">
        <v>18</v>
      </c>
    </row>
    <row r="23" spans="1:13" ht="48" x14ac:dyDescent="0.25">
      <c r="A23" s="11">
        <v>112</v>
      </c>
      <c r="B23" s="12" t="s">
        <v>93</v>
      </c>
      <c r="C23" s="12" t="s">
        <v>94</v>
      </c>
      <c r="D23" s="12" t="s">
        <v>16</v>
      </c>
      <c r="E23" s="13">
        <v>50452</v>
      </c>
      <c r="F23" s="14">
        <v>46021</v>
      </c>
      <c r="G23" s="9">
        <f t="shared" ca="1" si="0"/>
        <v>54.498867245369183</v>
      </c>
      <c r="H23" s="14">
        <f t="shared" si="1"/>
        <v>45961</v>
      </c>
      <c r="I23" s="15" t="s">
        <v>95</v>
      </c>
      <c r="J23" s="16" t="s">
        <v>11</v>
      </c>
      <c r="K23" s="17" t="s">
        <v>209</v>
      </c>
      <c r="L23" s="18">
        <f t="shared" ca="1" si="2"/>
        <v>45966.501132754631</v>
      </c>
      <c r="M23" s="19" t="s">
        <v>18</v>
      </c>
    </row>
    <row r="24" spans="1:13" ht="24" x14ac:dyDescent="0.25">
      <c r="A24" s="11">
        <v>114</v>
      </c>
      <c r="B24" s="12" t="s">
        <v>96</v>
      </c>
      <c r="C24" s="12" t="s">
        <v>97</v>
      </c>
      <c r="D24" s="12" t="s">
        <v>16</v>
      </c>
      <c r="E24" s="13">
        <v>98000</v>
      </c>
      <c r="F24" s="14">
        <v>46021</v>
      </c>
      <c r="G24" s="9">
        <f t="shared" ca="1" si="0"/>
        <v>54.498867245369183</v>
      </c>
      <c r="H24" s="14">
        <f t="shared" si="1"/>
        <v>45961</v>
      </c>
      <c r="I24" s="15" t="s">
        <v>98</v>
      </c>
      <c r="J24" s="16" t="s">
        <v>11</v>
      </c>
      <c r="K24" s="17" t="s">
        <v>30</v>
      </c>
      <c r="L24" s="18">
        <f t="shared" ca="1" si="2"/>
        <v>45966.501132754631</v>
      </c>
      <c r="M24" s="19" t="s">
        <v>19</v>
      </c>
    </row>
    <row r="25" spans="1:13" x14ac:dyDescent="0.25">
      <c r="A25" s="11">
        <v>52</v>
      </c>
      <c r="B25" s="12" t="s">
        <v>99</v>
      </c>
      <c r="C25" s="12" t="s">
        <v>100</v>
      </c>
      <c r="D25" s="12" t="s">
        <v>27</v>
      </c>
      <c r="E25" s="13">
        <v>16800</v>
      </c>
      <c r="F25" s="14">
        <v>46022</v>
      </c>
      <c r="G25" s="9">
        <f t="shared" ca="1" si="0"/>
        <v>55.498867245369183</v>
      </c>
      <c r="H25" s="14">
        <f t="shared" si="1"/>
        <v>45962</v>
      </c>
      <c r="I25" s="15">
        <v>435273</v>
      </c>
      <c r="J25" s="16" t="s">
        <v>11</v>
      </c>
      <c r="K25" s="17" t="s">
        <v>30</v>
      </c>
      <c r="L25" s="18">
        <f t="shared" ca="1" si="2"/>
        <v>45966.501132754631</v>
      </c>
      <c r="M25" s="19" t="s">
        <v>18</v>
      </c>
    </row>
    <row r="26" spans="1:13" x14ac:dyDescent="0.25">
      <c r="A26" s="11">
        <v>30</v>
      </c>
      <c r="B26" s="12" t="s">
        <v>101</v>
      </c>
      <c r="C26" s="12" t="s">
        <v>102</v>
      </c>
      <c r="D26" s="12" t="s">
        <v>13</v>
      </c>
      <c r="E26" s="13">
        <v>316237.34999999998</v>
      </c>
      <c r="F26" s="14">
        <v>46022</v>
      </c>
      <c r="G26" s="9">
        <f t="shared" ca="1" si="0"/>
        <v>55.498867245369183</v>
      </c>
      <c r="H26" s="14">
        <f t="shared" si="1"/>
        <v>45962</v>
      </c>
      <c r="I26" s="15" t="s">
        <v>103</v>
      </c>
      <c r="J26" s="16" t="s">
        <v>11</v>
      </c>
      <c r="K26" s="17" t="s">
        <v>30</v>
      </c>
      <c r="L26" s="18">
        <f t="shared" ca="1" si="2"/>
        <v>45966.501132754631</v>
      </c>
      <c r="M26" s="19" t="s">
        <v>17</v>
      </c>
    </row>
    <row r="27" spans="1:13" ht="24" x14ac:dyDescent="0.25">
      <c r="A27" s="11">
        <v>68</v>
      </c>
      <c r="B27" s="12" t="s">
        <v>104</v>
      </c>
      <c r="C27" s="12" t="s">
        <v>105</v>
      </c>
      <c r="D27" s="12" t="s">
        <v>13</v>
      </c>
      <c r="E27" s="13">
        <v>68385</v>
      </c>
      <c r="F27" s="14">
        <v>46022</v>
      </c>
      <c r="G27" s="9">
        <f t="shared" ca="1" si="0"/>
        <v>55.498867245369183</v>
      </c>
      <c r="H27" s="14">
        <f t="shared" si="1"/>
        <v>45962</v>
      </c>
      <c r="I27" s="15">
        <v>435472</v>
      </c>
      <c r="J27" s="16" t="s">
        <v>11</v>
      </c>
      <c r="K27" s="17" t="s">
        <v>30</v>
      </c>
      <c r="L27" s="18">
        <f t="shared" ca="1" si="2"/>
        <v>45966.501132754631</v>
      </c>
      <c r="M27" s="19" t="s">
        <v>17</v>
      </c>
    </row>
    <row r="28" spans="1:13" ht="36" x14ac:dyDescent="0.25">
      <c r="A28" s="11">
        <v>104</v>
      </c>
      <c r="B28" s="12" t="s">
        <v>106</v>
      </c>
      <c r="C28" s="12" t="s">
        <v>107</v>
      </c>
      <c r="D28" s="12" t="s">
        <v>14</v>
      </c>
      <c r="E28" s="13">
        <v>7500</v>
      </c>
      <c r="F28" s="14">
        <v>46022</v>
      </c>
      <c r="G28" s="9">
        <f t="shared" ca="1" si="0"/>
        <v>55.498867245369183</v>
      </c>
      <c r="H28" s="14">
        <f t="shared" si="1"/>
        <v>45962</v>
      </c>
      <c r="I28" s="15" t="s">
        <v>108</v>
      </c>
      <c r="J28" s="16" t="s">
        <v>11</v>
      </c>
      <c r="K28" s="17" t="s">
        <v>209</v>
      </c>
      <c r="L28" s="18">
        <f t="shared" ca="1" si="2"/>
        <v>45966.501132754631</v>
      </c>
      <c r="M28" s="19" t="s">
        <v>19</v>
      </c>
    </row>
    <row r="29" spans="1:13" ht="24" x14ac:dyDescent="0.25">
      <c r="A29" s="11">
        <v>14</v>
      </c>
      <c r="B29" s="12" t="s">
        <v>53</v>
      </c>
      <c r="C29" s="12" t="s">
        <v>109</v>
      </c>
      <c r="D29" s="12" t="s">
        <v>110</v>
      </c>
      <c r="E29" s="13">
        <v>21045</v>
      </c>
      <c r="F29" s="14">
        <v>46022</v>
      </c>
      <c r="G29" s="9">
        <f t="shared" ref="G29:G54" ca="1" si="3">F29-L29</f>
        <v>55.498867245369183</v>
      </c>
      <c r="H29" s="14">
        <f t="shared" ref="H29:H54" si="4">F29-60</f>
        <v>45962</v>
      </c>
      <c r="I29" s="15" t="s">
        <v>111</v>
      </c>
      <c r="J29" s="16" t="s">
        <v>11</v>
      </c>
      <c r="K29" s="17" t="s">
        <v>30</v>
      </c>
      <c r="L29" s="18">
        <f t="shared" ref="L29:L54" ca="1" si="5">NOW()</f>
        <v>45966.501132754631</v>
      </c>
      <c r="M29" s="19" t="s">
        <v>21</v>
      </c>
    </row>
    <row r="30" spans="1:13" x14ac:dyDescent="0.25">
      <c r="A30" s="11">
        <v>104</v>
      </c>
      <c r="B30" s="12" t="s">
        <v>112</v>
      </c>
      <c r="C30" s="12" t="s">
        <v>113</v>
      </c>
      <c r="D30" s="12" t="s">
        <v>12</v>
      </c>
      <c r="E30" s="13">
        <v>1920000</v>
      </c>
      <c r="F30" s="14">
        <v>46022</v>
      </c>
      <c r="G30" s="9">
        <f t="shared" ca="1" si="3"/>
        <v>55.498867245369183</v>
      </c>
      <c r="H30" s="14">
        <f t="shared" si="4"/>
        <v>45962</v>
      </c>
      <c r="I30" s="15" t="s">
        <v>114</v>
      </c>
      <c r="J30" s="16" t="s">
        <v>11</v>
      </c>
      <c r="K30" s="17" t="s">
        <v>209</v>
      </c>
      <c r="L30" s="18">
        <f t="shared" ca="1" si="5"/>
        <v>45966.501132754631</v>
      </c>
      <c r="M30" s="19" t="s">
        <v>17</v>
      </c>
    </row>
    <row r="31" spans="1:13" x14ac:dyDescent="0.25">
      <c r="A31" s="11">
        <v>170</v>
      </c>
      <c r="B31" s="12" t="s">
        <v>115</v>
      </c>
      <c r="C31" s="12" t="s">
        <v>116</v>
      </c>
      <c r="D31" s="12" t="s">
        <v>12</v>
      </c>
      <c r="E31" s="13">
        <v>34230</v>
      </c>
      <c r="F31" s="14">
        <v>46022</v>
      </c>
      <c r="G31" s="9">
        <f t="shared" ca="1" si="3"/>
        <v>55.498867245369183</v>
      </c>
      <c r="H31" s="14">
        <f t="shared" si="4"/>
        <v>45962</v>
      </c>
      <c r="I31" s="15" t="s">
        <v>117</v>
      </c>
      <c r="J31" s="16" t="s">
        <v>11</v>
      </c>
      <c r="K31" s="17" t="s">
        <v>209</v>
      </c>
      <c r="L31" s="18">
        <f t="shared" ca="1" si="5"/>
        <v>45966.501132754631</v>
      </c>
      <c r="M31" s="19" t="s">
        <v>19</v>
      </c>
    </row>
    <row r="32" spans="1:13" x14ac:dyDescent="0.25">
      <c r="A32" s="11">
        <v>211</v>
      </c>
      <c r="B32" s="12" t="s">
        <v>118</v>
      </c>
      <c r="C32" s="12" t="s">
        <v>119</v>
      </c>
      <c r="D32" s="12" t="s">
        <v>12</v>
      </c>
      <c r="E32" s="13">
        <v>85915.93</v>
      </c>
      <c r="F32" s="14">
        <v>46022</v>
      </c>
      <c r="G32" s="9">
        <f t="shared" ca="1" si="3"/>
        <v>55.498867245369183</v>
      </c>
      <c r="H32" s="14">
        <f t="shared" si="4"/>
        <v>45962</v>
      </c>
      <c r="I32" s="15" t="s">
        <v>120</v>
      </c>
      <c r="J32" s="16" t="s">
        <v>11</v>
      </c>
      <c r="K32" s="17" t="s">
        <v>30</v>
      </c>
      <c r="L32" s="18">
        <f t="shared" ca="1" si="5"/>
        <v>45966.501132754631</v>
      </c>
      <c r="M32" s="19" t="s">
        <v>19</v>
      </c>
    </row>
    <row r="33" spans="1:13" x14ac:dyDescent="0.25">
      <c r="A33" s="11">
        <v>227</v>
      </c>
      <c r="B33" s="12" t="s">
        <v>121</v>
      </c>
      <c r="C33" s="12" t="s">
        <v>122</v>
      </c>
      <c r="D33" s="12" t="s">
        <v>12</v>
      </c>
      <c r="E33" s="13">
        <v>21899.45</v>
      </c>
      <c r="F33" s="14">
        <v>46022</v>
      </c>
      <c r="G33" s="9">
        <f t="shared" ca="1" si="3"/>
        <v>55.498867245369183</v>
      </c>
      <c r="H33" s="14">
        <f t="shared" si="4"/>
        <v>45962</v>
      </c>
      <c r="I33" s="15" t="s">
        <v>123</v>
      </c>
      <c r="J33" s="16" t="s">
        <v>11</v>
      </c>
      <c r="K33" s="17" t="s">
        <v>30</v>
      </c>
      <c r="L33" s="18">
        <f t="shared" ca="1" si="5"/>
        <v>45966.501132754631</v>
      </c>
      <c r="M33" s="19" t="s">
        <v>19</v>
      </c>
    </row>
    <row r="34" spans="1:13" ht="24" x14ac:dyDescent="0.25">
      <c r="A34" s="11">
        <v>80</v>
      </c>
      <c r="B34" s="12" t="s">
        <v>124</v>
      </c>
      <c r="C34" s="12" t="s">
        <v>125</v>
      </c>
      <c r="D34" s="12" t="s">
        <v>16</v>
      </c>
      <c r="E34" s="13">
        <v>4942125</v>
      </c>
      <c r="F34" s="14">
        <v>46022</v>
      </c>
      <c r="G34" s="9">
        <f t="shared" ca="1" si="3"/>
        <v>55.498867245369183</v>
      </c>
      <c r="H34" s="14">
        <f t="shared" si="4"/>
        <v>45962</v>
      </c>
      <c r="I34" s="15" t="s">
        <v>126</v>
      </c>
      <c r="J34" s="16" t="s">
        <v>11</v>
      </c>
      <c r="K34" s="17" t="s">
        <v>211</v>
      </c>
      <c r="L34" s="18">
        <f t="shared" ca="1" si="5"/>
        <v>45966.501132754631</v>
      </c>
      <c r="M34" s="19" t="s">
        <v>20</v>
      </c>
    </row>
    <row r="35" spans="1:13" ht="24" x14ac:dyDescent="0.25">
      <c r="A35" s="11">
        <v>93</v>
      </c>
      <c r="B35" s="12" t="s">
        <v>128</v>
      </c>
      <c r="C35" s="12" t="s">
        <v>129</v>
      </c>
      <c r="D35" s="12" t="s">
        <v>24</v>
      </c>
      <c r="E35" s="13">
        <v>250000</v>
      </c>
      <c r="F35" s="14">
        <v>46022</v>
      </c>
      <c r="G35" s="9">
        <f t="shared" ca="1" si="3"/>
        <v>55.498867245369183</v>
      </c>
      <c r="H35" s="14">
        <f t="shared" si="4"/>
        <v>45962</v>
      </c>
      <c r="I35" s="15" t="s">
        <v>130</v>
      </c>
      <c r="J35" s="16" t="s">
        <v>11</v>
      </c>
      <c r="K35" s="17" t="s">
        <v>30</v>
      </c>
      <c r="L35" s="18">
        <f t="shared" ca="1" si="5"/>
        <v>45966.501132754631</v>
      </c>
      <c r="M35" s="19" t="s">
        <v>20</v>
      </c>
    </row>
    <row r="36" spans="1:13" ht="24" x14ac:dyDescent="0.25">
      <c r="A36" s="11">
        <v>97</v>
      </c>
      <c r="B36" s="12" t="s">
        <v>131</v>
      </c>
      <c r="C36" s="12" t="s">
        <v>132</v>
      </c>
      <c r="D36" s="12" t="s">
        <v>24</v>
      </c>
      <c r="E36" s="13">
        <v>96500</v>
      </c>
      <c r="F36" s="14">
        <v>46022</v>
      </c>
      <c r="G36" s="9">
        <f t="shared" ca="1" si="3"/>
        <v>55.498867245369183</v>
      </c>
      <c r="H36" s="14">
        <f t="shared" si="4"/>
        <v>45962</v>
      </c>
      <c r="I36" s="22" t="s">
        <v>133</v>
      </c>
      <c r="J36" s="16" t="s">
        <v>11</v>
      </c>
      <c r="K36" s="17" t="s">
        <v>30</v>
      </c>
      <c r="L36" s="18">
        <f t="shared" ca="1" si="5"/>
        <v>45966.501132754631</v>
      </c>
      <c r="M36" s="19" t="s">
        <v>21</v>
      </c>
    </row>
    <row r="37" spans="1:13" ht="24" x14ac:dyDescent="0.25">
      <c r="A37" s="11">
        <v>98</v>
      </c>
      <c r="B37" s="12" t="s">
        <v>131</v>
      </c>
      <c r="C37" s="12" t="s">
        <v>134</v>
      </c>
      <c r="D37" s="12" t="s">
        <v>24</v>
      </c>
      <c r="E37" s="13">
        <v>20700</v>
      </c>
      <c r="F37" s="14">
        <v>46022</v>
      </c>
      <c r="G37" s="9">
        <f t="shared" ca="1" si="3"/>
        <v>55.498867245369183</v>
      </c>
      <c r="H37" s="14">
        <f t="shared" si="4"/>
        <v>45962</v>
      </c>
      <c r="I37" s="15" t="s">
        <v>135</v>
      </c>
      <c r="J37" s="16" t="s">
        <v>11</v>
      </c>
      <c r="K37" s="17" t="s">
        <v>30</v>
      </c>
      <c r="L37" s="18">
        <f t="shared" ca="1" si="5"/>
        <v>45966.501132754631</v>
      </c>
      <c r="M37" s="19" t="s">
        <v>21</v>
      </c>
    </row>
    <row r="38" spans="1:13" ht="36" x14ac:dyDescent="0.25">
      <c r="A38" s="11"/>
      <c r="B38" s="12" t="s">
        <v>136</v>
      </c>
      <c r="C38" s="12" t="s">
        <v>137</v>
      </c>
      <c r="D38" s="12" t="s">
        <v>24</v>
      </c>
      <c r="E38" s="13">
        <v>22500</v>
      </c>
      <c r="F38" s="14">
        <v>46022</v>
      </c>
      <c r="G38" s="9">
        <f t="shared" ca="1" si="3"/>
        <v>55.498867245369183</v>
      </c>
      <c r="H38" s="14">
        <f t="shared" si="4"/>
        <v>45962</v>
      </c>
      <c r="I38" s="15" t="s">
        <v>138</v>
      </c>
      <c r="J38" s="16" t="s">
        <v>11</v>
      </c>
      <c r="K38" s="17" t="s">
        <v>30</v>
      </c>
      <c r="L38" s="18">
        <f t="shared" ca="1" si="5"/>
        <v>45966.501132754631</v>
      </c>
      <c r="M38" s="19" t="s">
        <v>18</v>
      </c>
    </row>
    <row r="39" spans="1:13" ht="24" x14ac:dyDescent="0.25">
      <c r="A39" s="11">
        <v>56</v>
      </c>
      <c r="B39" s="12" t="s">
        <v>139</v>
      </c>
      <c r="C39" s="12" t="s">
        <v>140</v>
      </c>
      <c r="D39" s="12" t="s">
        <v>27</v>
      </c>
      <c r="E39" s="13">
        <v>19656</v>
      </c>
      <c r="F39" s="14">
        <v>46022</v>
      </c>
      <c r="G39" s="9">
        <f t="shared" ca="1" si="3"/>
        <v>55.498867245369183</v>
      </c>
      <c r="H39" s="14">
        <f t="shared" si="4"/>
        <v>45962</v>
      </c>
      <c r="I39" s="15" t="s">
        <v>141</v>
      </c>
      <c r="J39" s="16" t="s">
        <v>11</v>
      </c>
      <c r="K39" s="23" t="s">
        <v>30</v>
      </c>
      <c r="L39" s="18">
        <f t="shared" ca="1" si="5"/>
        <v>45966.501132754631</v>
      </c>
      <c r="M39" s="19" t="s">
        <v>20</v>
      </c>
    </row>
    <row r="40" spans="1:13" x14ac:dyDescent="0.25">
      <c r="A40" s="11">
        <v>111</v>
      </c>
      <c r="B40" s="12" t="s">
        <v>142</v>
      </c>
      <c r="C40" s="12" t="s">
        <v>143</v>
      </c>
      <c r="D40" s="12" t="s">
        <v>12</v>
      </c>
      <c r="E40" s="13">
        <v>34500</v>
      </c>
      <c r="F40" s="14">
        <v>46023</v>
      </c>
      <c r="G40" s="9">
        <f t="shared" ca="1" si="3"/>
        <v>56.498867245369183</v>
      </c>
      <c r="H40" s="14">
        <f t="shared" si="4"/>
        <v>45963</v>
      </c>
      <c r="I40" s="15" t="s">
        <v>144</v>
      </c>
      <c r="J40" s="16" t="s">
        <v>11</v>
      </c>
      <c r="K40" s="17" t="s">
        <v>30</v>
      </c>
      <c r="L40" s="18">
        <f t="shared" ca="1" si="5"/>
        <v>45966.501132754631</v>
      </c>
      <c r="M40" s="19" t="s">
        <v>20</v>
      </c>
    </row>
    <row r="41" spans="1:13" ht="36" x14ac:dyDescent="0.25">
      <c r="A41" s="11">
        <v>125</v>
      </c>
      <c r="B41" s="12" t="s">
        <v>145</v>
      </c>
      <c r="C41" s="12" t="s">
        <v>146</v>
      </c>
      <c r="D41" s="12" t="s">
        <v>16</v>
      </c>
      <c r="E41" s="13">
        <v>8563.82</v>
      </c>
      <c r="F41" s="14">
        <v>46023</v>
      </c>
      <c r="G41" s="9">
        <f t="shared" ca="1" si="3"/>
        <v>56.498867245369183</v>
      </c>
      <c r="H41" s="14">
        <f t="shared" si="4"/>
        <v>45963</v>
      </c>
      <c r="I41" s="15" t="s">
        <v>147</v>
      </c>
      <c r="J41" s="16" t="s">
        <v>11</v>
      </c>
      <c r="K41" s="17" t="s">
        <v>210</v>
      </c>
      <c r="L41" s="18">
        <f t="shared" ca="1" si="5"/>
        <v>45966.501132754631</v>
      </c>
      <c r="M41" s="19" t="s">
        <v>19</v>
      </c>
    </row>
    <row r="42" spans="1:13" ht="24" x14ac:dyDescent="0.25">
      <c r="A42" s="11">
        <v>76</v>
      </c>
      <c r="B42" s="12" t="s">
        <v>148</v>
      </c>
      <c r="C42" s="12" t="s">
        <v>149</v>
      </c>
      <c r="D42" s="12" t="s">
        <v>13</v>
      </c>
      <c r="E42" s="13">
        <v>99262</v>
      </c>
      <c r="F42" s="14">
        <v>46027</v>
      </c>
      <c r="G42" s="9">
        <f t="shared" ca="1" si="3"/>
        <v>60.498867245369183</v>
      </c>
      <c r="H42" s="14">
        <f t="shared" si="4"/>
        <v>45967</v>
      </c>
      <c r="I42" s="15">
        <v>5859</v>
      </c>
      <c r="J42" s="16" t="s">
        <v>11</v>
      </c>
      <c r="K42" s="17" t="s">
        <v>30</v>
      </c>
      <c r="L42" s="18">
        <f t="shared" ca="1" si="5"/>
        <v>45966.501132754631</v>
      </c>
      <c r="M42" s="19" t="s">
        <v>18</v>
      </c>
    </row>
    <row r="43" spans="1:13" x14ac:dyDescent="0.25">
      <c r="A43" s="11">
        <v>95</v>
      </c>
      <c r="B43" s="12" t="s">
        <v>150</v>
      </c>
      <c r="C43" s="12" t="s">
        <v>151</v>
      </c>
      <c r="D43" s="12" t="s">
        <v>28</v>
      </c>
      <c r="E43" s="13">
        <v>497500</v>
      </c>
      <c r="F43" s="14">
        <v>46027</v>
      </c>
      <c r="G43" s="9">
        <f t="shared" ca="1" si="3"/>
        <v>60.498867245369183</v>
      </c>
      <c r="H43" s="14">
        <f t="shared" si="4"/>
        <v>45967</v>
      </c>
      <c r="I43" s="15" t="s">
        <v>152</v>
      </c>
      <c r="J43" s="16" t="s">
        <v>11</v>
      </c>
      <c r="K43" s="17" t="s">
        <v>210</v>
      </c>
      <c r="L43" s="18">
        <f t="shared" ca="1" si="5"/>
        <v>45966.501132754631</v>
      </c>
      <c r="M43" s="19" t="s">
        <v>20</v>
      </c>
    </row>
    <row r="44" spans="1:13" ht="24" x14ac:dyDescent="0.25">
      <c r="A44" s="11">
        <v>133</v>
      </c>
      <c r="B44" s="12" t="s">
        <v>153</v>
      </c>
      <c r="C44" s="12" t="s">
        <v>154</v>
      </c>
      <c r="D44" s="12" t="s">
        <v>14</v>
      </c>
      <c r="E44" s="13">
        <v>1520000</v>
      </c>
      <c r="F44" s="14">
        <v>46029</v>
      </c>
      <c r="G44" s="9">
        <f t="shared" ca="1" si="3"/>
        <v>62.498867245369183</v>
      </c>
      <c r="H44" s="14">
        <f t="shared" si="4"/>
        <v>45969</v>
      </c>
      <c r="I44" s="15" t="s">
        <v>155</v>
      </c>
      <c r="J44" s="16" t="s">
        <v>11</v>
      </c>
      <c r="K44" s="17" t="s">
        <v>209</v>
      </c>
      <c r="L44" s="18">
        <f t="shared" ca="1" si="5"/>
        <v>45966.501132754631</v>
      </c>
      <c r="M44" s="19" t="s">
        <v>18</v>
      </c>
    </row>
    <row r="45" spans="1:13" x14ac:dyDescent="0.25">
      <c r="A45" s="11">
        <v>121</v>
      </c>
      <c r="B45" s="12" t="s">
        <v>52</v>
      </c>
      <c r="C45" s="12" t="s">
        <v>156</v>
      </c>
      <c r="D45" s="12" t="s">
        <v>14</v>
      </c>
      <c r="E45" s="13">
        <v>323920</v>
      </c>
      <c r="F45" s="14">
        <v>46030</v>
      </c>
      <c r="G45" s="9">
        <f t="shared" ca="1" si="3"/>
        <v>63.498867245369183</v>
      </c>
      <c r="H45" s="14">
        <f t="shared" si="4"/>
        <v>45970</v>
      </c>
      <c r="I45" s="15" t="s">
        <v>157</v>
      </c>
      <c r="J45" s="16" t="s">
        <v>11</v>
      </c>
      <c r="K45" s="17" t="s">
        <v>30</v>
      </c>
      <c r="L45" s="18">
        <f t="shared" ca="1" si="5"/>
        <v>45966.501132754631</v>
      </c>
      <c r="M45" s="19" t="s">
        <v>19</v>
      </c>
    </row>
    <row r="46" spans="1:13" x14ac:dyDescent="0.25">
      <c r="A46" s="11">
        <v>96</v>
      </c>
      <c r="B46" s="12" t="s">
        <v>150</v>
      </c>
      <c r="C46" s="12" t="s">
        <v>158</v>
      </c>
      <c r="D46" s="12" t="s">
        <v>28</v>
      </c>
      <c r="E46" s="13">
        <v>775000</v>
      </c>
      <c r="F46" s="14">
        <v>46031</v>
      </c>
      <c r="G46" s="9">
        <f t="shared" ca="1" si="3"/>
        <v>64.498867245369183</v>
      </c>
      <c r="H46" s="14">
        <f t="shared" si="4"/>
        <v>45971</v>
      </c>
      <c r="I46" s="15" t="s">
        <v>159</v>
      </c>
      <c r="J46" s="16" t="s">
        <v>11</v>
      </c>
      <c r="K46" s="17" t="s">
        <v>209</v>
      </c>
      <c r="L46" s="18">
        <f t="shared" ca="1" si="5"/>
        <v>45966.501132754631</v>
      </c>
      <c r="M46" s="19" t="s">
        <v>20</v>
      </c>
    </row>
    <row r="47" spans="1:13" ht="24" x14ac:dyDescent="0.25">
      <c r="A47" s="11">
        <v>22</v>
      </c>
      <c r="B47" s="12" t="s">
        <v>68</v>
      </c>
      <c r="C47" s="12" t="s">
        <v>160</v>
      </c>
      <c r="D47" s="12" t="s">
        <v>127</v>
      </c>
      <c r="E47" s="13">
        <v>9896</v>
      </c>
      <c r="F47" s="14">
        <v>46031</v>
      </c>
      <c r="G47" s="9">
        <f t="shared" ca="1" si="3"/>
        <v>64.498867245369183</v>
      </c>
      <c r="H47" s="14">
        <f t="shared" si="4"/>
        <v>45971</v>
      </c>
      <c r="I47" s="15" t="s">
        <v>161</v>
      </c>
      <c r="J47" s="16" t="s">
        <v>11</v>
      </c>
      <c r="K47" s="17" t="s">
        <v>30</v>
      </c>
      <c r="L47" s="18">
        <f t="shared" ca="1" si="5"/>
        <v>45966.501132754631</v>
      </c>
      <c r="M47" s="19" t="s">
        <v>19</v>
      </c>
    </row>
    <row r="48" spans="1:13" ht="24" x14ac:dyDescent="0.25">
      <c r="A48" s="11">
        <v>176</v>
      </c>
      <c r="B48" s="12" t="s">
        <v>162</v>
      </c>
      <c r="C48" s="12" t="s">
        <v>163</v>
      </c>
      <c r="D48" s="12" t="s">
        <v>12</v>
      </c>
      <c r="E48" s="13">
        <v>83323.759999999995</v>
      </c>
      <c r="F48" s="14">
        <v>46032</v>
      </c>
      <c r="G48" s="9">
        <f t="shared" ca="1" si="3"/>
        <v>65.498867245369183</v>
      </c>
      <c r="H48" s="14">
        <f t="shared" si="4"/>
        <v>45972</v>
      </c>
      <c r="I48" s="15" t="s">
        <v>164</v>
      </c>
      <c r="J48" s="16" t="s">
        <v>11</v>
      </c>
      <c r="K48" s="17" t="s">
        <v>30</v>
      </c>
      <c r="L48" s="18">
        <f t="shared" ca="1" si="5"/>
        <v>45966.501132754631</v>
      </c>
      <c r="M48" s="19" t="s">
        <v>18</v>
      </c>
    </row>
    <row r="49" spans="1:13" x14ac:dyDescent="0.25">
      <c r="A49" s="11">
        <v>106</v>
      </c>
      <c r="B49" s="12" t="s">
        <v>23</v>
      </c>
      <c r="C49" s="12" t="s">
        <v>165</v>
      </c>
      <c r="D49" s="12" t="s">
        <v>14</v>
      </c>
      <c r="E49" s="13">
        <v>74334</v>
      </c>
      <c r="F49" s="14">
        <v>46037</v>
      </c>
      <c r="G49" s="9">
        <f t="shared" ca="1" si="3"/>
        <v>70.498867245369183</v>
      </c>
      <c r="H49" s="14">
        <f t="shared" si="4"/>
        <v>45977</v>
      </c>
      <c r="I49" s="15" t="s">
        <v>166</v>
      </c>
      <c r="J49" s="16" t="s">
        <v>11</v>
      </c>
      <c r="K49" s="17" t="s">
        <v>30</v>
      </c>
      <c r="L49" s="18">
        <f t="shared" ca="1" si="5"/>
        <v>45966.501132754631</v>
      </c>
      <c r="M49" s="19" t="s">
        <v>20</v>
      </c>
    </row>
    <row r="50" spans="1:13" ht="24" x14ac:dyDescent="0.25">
      <c r="A50" s="11">
        <v>123</v>
      </c>
      <c r="B50" s="12" t="s">
        <v>167</v>
      </c>
      <c r="C50" s="12" t="s">
        <v>168</v>
      </c>
      <c r="D50" s="12" t="s">
        <v>16</v>
      </c>
      <c r="E50" s="13">
        <v>417822</v>
      </c>
      <c r="F50" s="14">
        <v>46037</v>
      </c>
      <c r="G50" s="9">
        <f t="shared" ca="1" si="3"/>
        <v>70.498867245369183</v>
      </c>
      <c r="H50" s="14">
        <f t="shared" si="4"/>
        <v>45977</v>
      </c>
      <c r="I50" s="15" t="s">
        <v>169</v>
      </c>
      <c r="J50" s="16" t="s">
        <v>11</v>
      </c>
      <c r="K50" s="17" t="s">
        <v>30</v>
      </c>
      <c r="L50" s="18">
        <f t="shared" ca="1" si="5"/>
        <v>45966.501132754631</v>
      </c>
      <c r="M50" s="19" t="s">
        <v>20</v>
      </c>
    </row>
    <row r="51" spans="1:13" x14ac:dyDescent="0.25">
      <c r="A51" s="11">
        <v>150</v>
      </c>
      <c r="B51" s="12" t="s">
        <v>170</v>
      </c>
      <c r="C51" s="12" t="s">
        <v>171</v>
      </c>
      <c r="D51" s="12" t="s">
        <v>24</v>
      </c>
      <c r="E51" s="13">
        <v>59815</v>
      </c>
      <c r="F51" s="14">
        <v>46037</v>
      </c>
      <c r="G51" s="9">
        <f t="shared" ca="1" si="3"/>
        <v>70.498867245369183</v>
      </c>
      <c r="H51" s="14">
        <f t="shared" si="4"/>
        <v>45977</v>
      </c>
      <c r="I51" s="15" t="s">
        <v>172</v>
      </c>
      <c r="J51" s="16" t="s">
        <v>11</v>
      </c>
      <c r="K51" s="17" t="s">
        <v>30</v>
      </c>
      <c r="L51" s="18">
        <f t="shared" ca="1" si="5"/>
        <v>45966.501132754631</v>
      </c>
      <c r="M51" s="19" t="s">
        <v>18</v>
      </c>
    </row>
    <row r="52" spans="1:13" ht="24" x14ac:dyDescent="0.25">
      <c r="A52" s="11">
        <v>3</v>
      </c>
      <c r="B52" s="12" t="s">
        <v>173</v>
      </c>
      <c r="C52" s="12" t="s">
        <v>174</v>
      </c>
      <c r="D52" s="12" t="s">
        <v>27</v>
      </c>
      <c r="E52" s="13">
        <v>18966</v>
      </c>
      <c r="F52" s="14">
        <v>46039</v>
      </c>
      <c r="G52" s="9">
        <f t="shared" ca="1" si="3"/>
        <v>72.498867245369183</v>
      </c>
      <c r="H52" s="14">
        <f t="shared" si="4"/>
        <v>45979</v>
      </c>
      <c r="I52" s="15" t="s">
        <v>175</v>
      </c>
      <c r="J52" s="16" t="s">
        <v>11</v>
      </c>
      <c r="K52" s="17" t="s">
        <v>30</v>
      </c>
      <c r="L52" s="18">
        <f t="shared" ca="1" si="5"/>
        <v>45966.501132754631</v>
      </c>
      <c r="M52" s="19" t="s">
        <v>18</v>
      </c>
    </row>
    <row r="53" spans="1:13" x14ac:dyDescent="0.25">
      <c r="A53" s="11">
        <v>31</v>
      </c>
      <c r="B53" s="12" t="s">
        <v>176</v>
      </c>
      <c r="C53" s="12" t="s">
        <v>177</v>
      </c>
      <c r="D53" s="12" t="s">
        <v>22</v>
      </c>
      <c r="E53" s="13">
        <v>18725</v>
      </c>
      <c r="F53" s="14">
        <v>46039</v>
      </c>
      <c r="G53" s="9">
        <f t="shared" ca="1" si="3"/>
        <v>72.498867245369183</v>
      </c>
      <c r="H53" s="14">
        <f t="shared" si="4"/>
        <v>45979</v>
      </c>
      <c r="I53" s="15" t="s">
        <v>178</v>
      </c>
      <c r="J53" s="16" t="s">
        <v>11</v>
      </c>
      <c r="K53" s="17" t="s">
        <v>30</v>
      </c>
      <c r="L53" s="18">
        <f t="shared" ca="1" si="5"/>
        <v>45966.501132754631</v>
      </c>
      <c r="M53" s="19" t="s">
        <v>19</v>
      </c>
    </row>
    <row r="54" spans="1:13" x14ac:dyDescent="0.25">
      <c r="A54" s="11">
        <v>123</v>
      </c>
      <c r="B54" s="12" t="s">
        <v>179</v>
      </c>
      <c r="C54" s="12" t="s">
        <v>180</v>
      </c>
      <c r="D54" s="12" t="s">
        <v>24</v>
      </c>
      <c r="E54" s="13">
        <v>36499</v>
      </c>
      <c r="F54" s="14">
        <v>46040</v>
      </c>
      <c r="G54" s="9">
        <f t="shared" ca="1" si="3"/>
        <v>73.498867245369183</v>
      </c>
      <c r="H54" s="14">
        <f t="shared" si="4"/>
        <v>45980</v>
      </c>
      <c r="I54" s="15" t="s">
        <v>181</v>
      </c>
      <c r="J54" s="16" t="s">
        <v>11</v>
      </c>
      <c r="K54" s="17" t="s">
        <v>30</v>
      </c>
      <c r="L54" s="18">
        <f t="shared" ca="1" si="5"/>
        <v>45966.501132754631</v>
      </c>
      <c r="M54" s="19" t="s">
        <v>19</v>
      </c>
    </row>
    <row r="55" spans="1:13" x14ac:dyDescent="0.25">
      <c r="A55" s="11">
        <v>3</v>
      </c>
      <c r="B55" s="12" t="s">
        <v>182</v>
      </c>
      <c r="C55" s="12" t="s">
        <v>183</v>
      </c>
      <c r="D55" s="12" t="s">
        <v>184</v>
      </c>
      <c r="E55" s="13">
        <v>4063775</v>
      </c>
      <c r="F55" s="14">
        <v>46041</v>
      </c>
      <c r="G55" s="9">
        <f t="shared" ref="G55:G64" ca="1" si="6">F55-L55</f>
        <v>74.498867245369183</v>
      </c>
      <c r="H55" s="14">
        <f t="shared" ref="H55:H64" si="7">F55-60</f>
        <v>45981</v>
      </c>
      <c r="I55" s="15" t="s">
        <v>185</v>
      </c>
      <c r="J55" s="16" t="s">
        <v>11</v>
      </c>
      <c r="K55" s="17" t="s">
        <v>30</v>
      </c>
      <c r="L55" s="18">
        <f t="shared" ref="L55:L64" ca="1" si="8">NOW()</f>
        <v>45966.501132754631</v>
      </c>
      <c r="M55" s="19" t="s">
        <v>18</v>
      </c>
    </row>
    <row r="56" spans="1:13" x14ac:dyDescent="0.25">
      <c r="A56" s="11">
        <v>41</v>
      </c>
      <c r="B56" s="12" t="s">
        <v>186</v>
      </c>
      <c r="C56" s="12" t="s">
        <v>187</v>
      </c>
      <c r="D56" s="12" t="s">
        <v>27</v>
      </c>
      <c r="E56" s="13">
        <v>24270.75</v>
      </c>
      <c r="F56" s="14">
        <v>46044</v>
      </c>
      <c r="G56" s="9">
        <f t="shared" ca="1" si="6"/>
        <v>77.498867245369183</v>
      </c>
      <c r="H56" s="14">
        <f t="shared" si="7"/>
        <v>45984</v>
      </c>
      <c r="I56" s="15" t="s">
        <v>188</v>
      </c>
      <c r="J56" s="16" t="s">
        <v>11</v>
      </c>
      <c r="K56" s="17" t="s">
        <v>30</v>
      </c>
      <c r="L56" s="18">
        <f t="shared" ca="1" si="8"/>
        <v>45966.501132754631</v>
      </c>
      <c r="M56" s="19" t="s">
        <v>21</v>
      </c>
    </row>
    <row r="57" spans="1:13" x14ac:dyDescent="0.25">
      <c r="A57" s="11">
        <v>2</v>
      </c>
      <c r="B57" s="12" t="s">
        <v>182</v>
      </c>
      <c r="C57" s="12" t="s">
        <v>189</v>
      </c>
      <c r="D57" s="12" t="s">
        <v>184</v>
      </c>
      <c r="E57" s="13">
        <v>11343250</v>
      </c>
      <c r="F57" s="14">
        <v>46047</v>
      </c>
      <c r="G57" s="9">
        <f t="shared" ca="1" si="6"/>
        <v>80.498867245369183</v>
      </c>
      <c r="H57" s="14">
        <f t="shared" si="7"/>
        <v>45987</v>
      </c>
      <c r="I57" s="15" t="s">
        <v>185</v>
      </c>
      <c r="J57" s="16" t="s">
        <v>11</v>
      </c>
      <c r="K57" s="17" t="s">
        <v>30</v>
      </c>
      <c r="L57" s="18">
        <f t="shared" ca="1" si="8"/>
        <v>45966.501132754631</v>
      </c>
      <c r="M57" s="19" t="s">
        <v>18</v>
      </c>
    </row>
    <row r="58" spans="1:13" x14ac:dyDescent="0.25">
      <c r="A58" s="11">
        <v>233</v>
      </c>
      <c r="B58" s="12" t="s">
        <v>190</v>
      </c>
      <c r="C58" s="12" t="s">
        <v>191</v>
      </c>
      <c r="D58" s="12" t="s">
        <v>12</v>
      </c>
      <c r="E58" s="13">
        <v>345281.18</v>
      </c>
      <c r="F58" s="14">
        <v>46050</v>
      </c>
      <c r="G58" s="9">
        <f t="shared" ca="1" si="6"/>
        <v>83.498867245369183</v>
      </c>
      <c r="H58" s="14">
        <f t="shared" si="7"/>
        <v>45990</v>
      </c>
      <c r="I58" s="15">
        <v>436003</v>
      </c>
      <c r="J58" s="16" t="s">
        <v>11</v>
      </c>
      <c r="K58" s="17" t="s">
        <v>30</v>
      </c>
      <c r="L58" s="18">
        <f t="shared" ca="1" si="8"/>
        <v>45966.501132754631</v>
      </c>
      <c r="M58" s="19" t="s">
        <v>18</v>
      </c>
    </row>
    <row r="59" spans="1:13" ht="36" x14ac:dyDescent="0.25">
      <c r="A59" s="11">
        <v>33</v>
      </c>
      <c r="B59" s="12" t="s">
        <v>192</v>
      </c>
      <c r="C59" s="12" t="s">
        <v>193</v>
      </c>
      <c r="D59" s="12" t="s">
        <v>194</v>
      </c>
      <c r="E59" s="13">
        <v>7187.5</v>
      </c>
      <c r="F59" s="14">
        <v>46052</v>
      </c>
      <c r="G59" s="9">
        <f t="shared" ca="1" si="6"/>
        <v>85.498867245369183</v>
      </c>
      <c r="H59" s="14">
        <f t="shared" si="7"/>
        <v>45992</v>
      </c>
      <c r="I59" s="15">
        <v>436035</v>
      </c>
      <c r="J59" s="16" t="s">
        <v>11</v>
      </c>
      <c r="K59" s="17" t="s">
        <v>30</v>
      </c>
      <c r="L59" s="18">
        <f t="shared" ca="1" si="8"/>
        <v>45966.501132754631</v>
      </c>
      <c r="M59" s="19" t="s">
        <v>18</v>
      </c>
    </row>
    <row r="60" spans="1:13" ht="24" x14ac:dyDescent="0.25">
      <c r="A60" s="11">
        <v>148</v>
      </c>
      <c r="B60" s="12" t="s">
        <v>195</v>
      </c>
      <c r="C60" s="12" t="s">
        <v>196</v>
      </c>
      <c r="D60" s="12" t="s">
        <v>24</v>
      </c>
      <c r="E60" s="13">
        <v>391575</v>
      </c>
      <c r="F60" s="14">
        <v>46052</v>
      </c>
      <c r="G60" s="9">
        <f t="shared" ca="1" si="6"/>
        <v>85.498867245369183</v>
      </c>
      <c r="H60" s="14">
        <f t="shared" si="7"/>
        <v>45992</v>
      </c>
      <c r="I60" s="15" t="s">
        <v>197</v>
      </c>
      <c r="J60" s="16" t="s">
        <v>11</v>
      </c>
      <c r="K60" s="17" t="s">
        <v>30</v>
      </c>
      <c r="L60" s="18">
        <f t="shared" ca="1" si="8"/>
        <v>45966.501132754631</v>
      </c>
      <c r="M60" s="19" t="s">
        <v>21</v>
      </c>
    </row>
    <row r="61" spans="1:13" x14ac:dyDescent="0.25">
      <c r="A61" s="11">
        <v>165</v>
      </c>
      <c r="B61" s="12" t="s">
        <v>198</v>
      </c>
      <c r="C61" s="12" t="s">
        <v>199</v>
      </c>
      <c r="D61" s="12" t="s">
        <v>16</v>
      </c>
      <c r="E61" s="13">
        <v>263235</v>
      </c>
      <c r="F61" s="14">
        <v>46052</v>
      </c>
      <c r="G61" s="9">
        <f t="shared" ca="1" si="6"/>
        <v>85.498867245369183</v>
      </c>
      <c r="H61" s="14">
        <f t="shared" si="7"/>
        <v>45992</v>
      </c>
      <c r="I61" s="15">
        <v>443051</v>
      </c>
      <c r="J61" s="16" t="s">
        <v>11</v>
      </c>
      <c r="K61" s="17" t="s">
        <v>30</v>
      </c>
      <c r="L61" s="18">
        <f t="shared" ca="1" si="8"/>
        <v>45966.501132754631</v>
      </c>
      <c r="M61" s="19" t="s">
        <v>20</v>
      </c>
    </row>
    <row r="62" spans="1:13" ht="24" x14ac:dyDescent="0.25">
      <c r="A62" s="11">
        <v>72</v>
      </c>
      <c r="B62" s="12" t="s">
        <v>200</v>
      </c>
      <c r="C62" s="12" t="s">
        <v>201</v>
      </c>
      <c r="D62" s="12" t="s">
        <v>15</v>
      </c>
      <c r="E62" s="13">
        <v>155250</v>
      </c>
      <c r="F62" s="14">
        <v>46053</v>
      </c>
      <c r="G62" s="9">
        <f t="shared" ca="1" si="6"/>
        <v>86.498867245369183</v>
      </c>
      <c r="H62" s="14">
        <f t="shared" si="7"/>
        <v>45993</v>
      </c>
      <c r="I62" s="15" t="s">
        <v>202</v>
      </c>
      <c r="J62" s="16" t="s">
        <v>11</v>
      </c>
      <c r="K62" s="17" t="s">
        <v>30</v>
      </c>
      <c r="L62" s="18">
        <f t="shared" ca="1" si="8"/>
        <v>45966.501132754631</v>
      </c>
      <c r="M62" s="19" t="s">
        <v>19</v>
      </c>
    </row>
    <row r="63" spans="1:13" ht="24" x14ac:dyDescent="0.25">
      <c r="A63" s="11">
        <v>124</v>
      </c>
      <c r="B63" s="12" t="s">
        <v>203</v>
      </c>
      <c r="C63" s="12" t="s">
        <v>204</v>
      </c>
      <c r="D63" s="12" t="s">
        <v>24</v>
      </c>
      <c r="E63" s="13">
        <v>94729.34</v>
      </c>
      <c r="F63" s="14">
        <v>46053</v>
      </c>
      <c r="G63" s="9">
        <f t="shared" ca="1" si="6"/>
        <v>86.498867245369183</v>
      </c>
      <c r="H63" s="14">
        <f t="shared" si="7"/>
        <v>45993</v>
      </c>
      <c r="I63" s="15" t="s">
        <v>205</v>
      </c>
      <c r="J63" s="16" t="s">
        <v>11</v>
      </c>
      <c r="K63" s="17" t="s">
        <v>209</v>
      </c>
      <c r="L63" s="18">
        <f t="shared" ca="1" si="8"/>
        <v>45966.501132754631</v>
      </c>
      <c r="M63" s="19" t="s">
        <v>19</v>
      </c>
    </row>
    <row r="64" spans="1:13" x14ac:dyDescent="0.25">
      <c r="A64" s="11">
        <v>150</v>
      </c>
      <c r="B64" s="12" t="s">
        <v>206</v>
      </c>
      <c r="C64" s="12" t="s">
        <v>207</v>
      </c>
      <c r="D64" s="12" t="s">
        <v>14</v>
      </c>
      <c r="E64" s="13">
        <v>28818</v>
      </c>
      <c r="F64" s="14">
        <v>46055</v>
      </c>
      <c r="G64" s="9">
        <f t="shared" ca="1" si="6"/>
        <v>88.498867245369183</v>
      </c>
      <c r="H64" s="14">
        <f t="shared" si="7"/>
        <v>45995</v>
      </c>
      <c r="I64" s="15" t="s">
        <v>208</v>
      </c>
      <c r="J64" s="16" t="s">
        <v>11</v>
      </c>
      <c r="K64" s="17" t="s">
        <v>30</v>
      </c>
      <c r="L64" s="18">
        <f t="shared" ca="1" si="8"/>
        <v>45966.501132754631</v>
      </c>
      <c r="M64" s="19" t="s">
        <v>18</v>
      </c>
    </row>
  </sheetData>
  <autoFilter ref="A1:M64" xr:uid="{00000000-0001-0000-0000-000000000000}"/>
  <conditionalFormatting sqref="C1">
    <cfRule type="duplicateValues" dxfId="3" priority="8"/>
  </conditionalFormatting>
  <conditionalFormatting sqref="C60:C64 C45:C57 C43 C11:C41">
    <cfRule type="duplicateValues" dxfId="2" priority="2"/>
  </conditionalFormatting>
  <conditionalFormatting sqref="C60:C64 C45:C57 C43 C11:C41 C2:C9">
    <cfRule type="duplicateValues" dxfId="1" priority="3"/>
  </conditionalFormatting>
  <conditionalFormatting sqref="C3:C9">
    <cfRule type="duplicateValues" dxfId="0" priority="2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SEJINI, SALLY HUSSEIN</dc:creator>
  <cp:lastModifiedBy>SEJINI, SALLY HUSSEIN</cp:lastModifiedBy>
  <dcterms:created xsi:type="dcterms:W3CDTF">2024-05-15T09:54:07Z</dcterms:created>
  <dcterms:modified xsi:type="dcterms:W3CDTF">2025-11-05T09:01:41Z</dcterms:modified>
</cp:coreProperties>
</file>